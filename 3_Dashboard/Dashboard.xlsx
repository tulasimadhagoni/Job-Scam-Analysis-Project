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DHAGONI SAINATH\OneDrive\Desktop\Analytics_Intern_Task1\3_Dashboard\"/>
    </mc:Choice>
  </mc:AlternateContent>
  <xr:revisionPtr revIDLastSave="0" documentId="13_ncr:1_{C3BB9812-3D43-4697-AB07-932687D54057}" xr6:coauthVersionLast="47" xr6:coauthVersionMax="47" xr10:uidLastSave="{00000000-0000-0000-0000-000000000000}"/>
  <bookViews>
    <workbookView xWindow="-108" yWindow="-108" windowWidth="23256" windowHeight="12456" activeTab="3" xr2:uid="{1ED4C282-5DC7-4DC2-908D-1C03654D3ACA}"/>
  </bookViews>
  <sheets>
    <sheet name="Dashboard_Instructions" sheetId="1" r:id="rId1"/>
    <sheet name="raw_data" sheetId="2" r:id="rId2"/>
    <sheet name="Pivots" sheetId="3" r:id="rId3"/>
    <sheet name="Dashboard" sheetId="4" r:id="rId4"/>
  </sheets>
  <calcPr calcId="191029"/>
  <pivotCaches>
    <pivotCache cacheId="6" r:id="rId5"/>
    <pivotCache cacheId="14" r:id="rId6"/>
    <pivotCache cacheId="23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" i="2" l="1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" i="2"/>
</calcChain>
</file>

<file path=xl/sharedStrings.xml><?xml version="1.0" encoding="utf-8"?>
<sst xmlns="http://schemas.openxmlformats.org/spreadsheetml/2006/main" count="448" uniqueCount="215">
  <si>
    <t>Step</t>
  </si>
  <si>
    <t>Task</t>
  </si>
  <si>
    <t>Details</t>
  </si>
  <si>
    <t>Create Dashboard File</t>
  </si>
  <si>
    <t>Create a new Excel file named "Dashboard.xlsx" inside the 3_Dashboard folder.</t>
  </si>
  <si>
    <t>Create raw_data Sheet</t>
  </si>
  <si>
    <t>Insert a new sheet and rename it to "raw_data". Copy all data from scams_dataset.xlsx → raw_data.</t>
  </si>
  <si>
    <t>Add Month Column</t>
  </si>
  <si>
    <t>Insert a new column "month" after the date column. Use formula: =TEXT(C2,"YYYY-MM") and drag down.</t>
  </si>
  <si>
    <t>Create Pivots Sheet</t>
  </si>
  <si>
    <t>Insert a new sheet and rename it "Pivots". All pivot tables will be created here.</t>
  </si>
  <si>
    <t>Pivot 1: Scam Type Count</t>
  </si>
  <si>
    <t>Rows: scam_category | Values: Count of id. Name it Pivot_ScamType.</t>
  </si>
  <si>
    <t>Pivot 2: Platform-wise Cases</t>
  </si>
  <si>
    <t>Rows: platform | Values: Count of id. Name it Pivot_Platform.</t>
  </si>
  <si>
    <t>Pivot 3: Monthly Trend</t>
  </si>
  <si>
    <t>Rows: month | Values: Count of id. Sort month ascending. Name it Pivot_MonthTrend.</t>
  </si>
  <si>
    <t>Pivot 4: Financial Loss</t>
  </si>
  <si>
    <t>Rows: scam_category | Values: Sum(amount_claimed_lost). Name it Pivot_FinancialLoss.</t>
  </si>
  <si>
    <t>Create Dashboard Sheet</t>
  </si>
  <si>
    <t>Insert new sheet named "Dashboard" for charts and summaries.</t>
  </si>
  <si>
    <t>Chart 1: Scam Category Chart</t>
  </si>
  <si>
    <t>Insert Column chart from Pivot_ScamType. Title: "Number of Scam Cases by Scam Category".</t>
  </si>
  <si>
    <t>Chart 2: Platform Distribution</t>
  </si>
  <si>
    <t>Create Pie/Donut chart using Pivot_Platform. Title: "Complaints Distribution by Platform".</t>
  </si>
  <si>
    <t>Chart 3: Monthly Trend Chart</t>
  </si>
  <si>
    <t>Create Line chart using Pivot_MonthTrend. Title: "Scam Trend Over Time (Monthly)".</t>
  </si>
  <si>
    <t>Chart 4: Financial Loss Chart</t>
  </si>
  <si>
    <t>Create Column chart using Pivot_FinancialLoss. Title: "Total Financial Loss by Scam Type".</t>
  </si>
  <si>
    <t>Format Dashboard</t>
  </si>
  <si>
    <t>Align charts neatly, add titles, enable data labels, adjust colors, remove blank elements.</t>
  </si>
  <si>
    <t>Save Dashboard Screenshots</t>
  </si>
  <si>
    <t>Take screenshots of all charts and save them as dashboard_chart1.png, dashboard_chart2.png, dashboard_chart3.png, dashboard_chart4.png.</t>
  </si>
  <si>
    <t>Store Charts</t>
  </si>
  <si>
    <t>Screenshots must be placed inside the folder: Analytics_Intern_Task1/3_Dashboard/.</t>
  </si>
  <si>
    <t>Insert Charts in Report</t>
  </si>
  <si>
    <t>Add these dashboard screenshots into the main report under the Data Analysis section.</t>
  </si>
  <si>
    <t>id</t>
  </si>
  <si>
    <t>platform</t>
  </si>
  <si>
    <t>source_type</t>
  </si>
  <si>
    <t>date</t>
  </si>
  <si>
    <t>author</t>
  </si>
  <si>
    <t>country</t>
  </si>
  <si>
    <t>scam_category</t>
  </si>
  <si>
    <t>sub_type</t>
  </si>
  <si>
    <t>short_description</t>
  </si>
  <si>
    <t>amount_claimed_lost</t>
  </si>
  <si>
    <t>currency</t>
  </si>
  <si>
    <t>evidence_link</t>
  </si>
  <si>
    <t>engagement_likes</t>
  </si>
  <si>
    <t>engagement_shares</t>
  </si>
  <si>
    <t>sentiment</t>
  </si>
  <si>
    <t>veracity</t>
  </si>
  <si>
    <t>action_taken</t>
  </si>
  <si>
    <t>notes</t>
  </si>
  <si>
    <t>News</t>
  </si>
  <si>
    <t>NewsArticle</t>
  </si>
  <si>
    <t>[REDACTED]</t>
  </si>
  <si>
    <t>India</t>
  </si>
  <si>
    <t>CourseScam</t>
  </si>
  <si>
    <t>FakeCourse</t>
  </si>
  <si>
    <t>40 Surat students lost Rs 52.27L to fake tech course promising jobs</t>
  </si>
  <si>
    <t>INR</t>
  </si>
  <si>
    <t>https://timesofindia.indiatimes.com/city/surat/hacked-dreams-40-students-lose-52l-to-fake-tech-courses/articleshow/122669778.cms</t>
  </si>
  <si>
    <t>NA</t>
  </si>
  <si>
    <t>Negative</t>
  </si>
  <si>
    <t>Reported</t>
  </si>
  <si>
    <t>FIR_registered</t>
  </si>
  <si>
    <t>screenshot: case1.png</t>
  </si>
  <si>
    <t>JobOfferScam</t>
  </si>
  <si>
    <t>FakeHR</t>
  </si>
  <si>
    <t>Constable cheated of Rs 6.4L in fake Uniqlo job offer scam</t>
  </si>
  <si>
    <t>https://timesofindia.indiatimes.com/city/hyderabad/cyber-cons-dupe-constable-of-6-4l-in-fake-uniqlo-job-scam/articleshow/125190666.cms</t>
  </si>
  <si>
    <t>screenshot: case2.png</t>
  </si>
  <si>
    <t>TrainingScam</t>
  </si>
  <si>
    <t>PaidTraining</t>
  </si>
  <si>
    <t>Bengaluru students scammed in paid online internship scheme</t>
  </si>
  <si>
    <t>https://timesofindia.indiatimes.com/city/bengaluru/several-bengaluru-students-fall-prey-to-online-internship-scams/articleshow/121938429.cms</t>
  </si>
  <si>
    <t>Alleged</t>
  </si>
  <si>
    <t>None</t>
  </si>
  <si>
    <t>screenshot: case3.png</t>
  </si>
  <si>
    <t>InternshipScam</t>
  </si>
  <si>
    <t>FakeInternship</t>
  </si>
  <si>
    <t>Woman nearly scammed by fake internship demanding registration fee</t>
  </si>
  <si>
    <t>https://www.ndtv.com/offbeat/watch-woman-hired-as-intern-shares-how-she-nearly-got-scammed-by-a-fake-company-6387891</t>
  </si>
  <si>
    <t>screenshot: case4.png</t>
  </si>
  <si>
    <t>PartTimeJob</t>
  </si>
  <si>
    <t>27-year-old man lost Rs 57.75L in part-time task scam</t>
  </si>
  <si>
    <t>https://www.indiatoday.in/technology/news/story/27-year-old-man-loses-rs-57-lakh-in-part-time-job-scam-2655724-2024-12-26</t>
  </si>
  <si>
    <t>screenshot: case5.png</t>
  </si>
  <si>
    <t>FakeCollege</t>
  </si>
  <si>
    <t>FakeCertificates</t>
  </si>
  <si>
    <t>UP fake certificate scam exposed with 8000 fake degrees identified</t>
  </si>
  <si>
    <t>https://timesofindia.indiatimes.com/india/sc-flags-large-scale-fake-certificate-fraud-in-up/articleshow/122169070.cms</t>
  </si>
  <si>
    <t>Investigation_ongoing</t>
  </si>
  <si>
    <t>screenshot: case6.png</t>
  </si>
  <si>
    <t>FakePlacement</t>
  </si>
  <si>
    <t>24 people duped of Rs 1.2 crore through fake IT job placements</t>
  </si>
  <si>
    <t>https://timesofindia.indiatimes.com/city/kochi/24-people-duped-of-1-2-crore-through-fake-it-job-placements/articleshow/120630712.cms</t>
  </si>
  <si>
    <t>screenshot: case7.png</t>
  </si>
  <si>
    <t>NoRefund</t>
  </si>
  <si>
    <t>Students protest after EdTech refused refunds for cancelled course</t>
  </si>
  <si>
    <t>https://www.hindustantimes.com/education/students-protest-against-edtech-refund-issues-101699628387362.html</t>
  </si>
  <si>
    <t>screenshot: case8.png</t>
  </si>
  <si>
    <t>TelegramJob</t>
  </si>
  <si>
    <t>Pune man loses Rs 5.3L in Telegram task fraud</t>
  </si>
  <si>
    <t>https://indianexpress.com/article/cities/pune/pune-man-loses-rs-5-3-lakh-in-online-task-fraud-9132471/</t>
  </si>
  <si>
    <t>screenshot: case9.png</t>
  </si>
  <si>
    <t>SkillCourse</t>
  </si>
  <si>
    <t>Fake skill-training institute collected Rs 20L from 60 students</t>
  </si>
  <si>
    <t>https://timesofindia.indiatimes.com/city/chennai/fake-skill-training-institute-dupes-students-of-20l/articleshow/123126772.cms</t>
  </si>
  <si>
    <t>Police_raid</t>
  </si>
  <si>
    <t>screenshot: case10.png</t>
  </si>
  <si>
    <t>FakeUniversity</t>
  </si>
  <si>
    <t>Students discover their MBA college was unapproved, degrees invalid</t>
  </si>
  <si>
    <t>https://timesofindia.indiatimes.com/city/mumbai/mumbai-students-stunned-as-mba-college-turns-out-unapproved/articleshow/123728991.cms</t>
  </si>
  <si>
    <t>Govt_action</t>
  </si>
  <si>
    <t>screenshot: case11.png</t>
  </si>
  <si>
    <t>StipendFraud</t>
  </si>
  <si>
    <t>Students denied promised stipends after internship scam exposed</t>
  </si>
  <si>
    <t>https://www.livemint.com/education/news/students-denied-stipend-internship-scam-11770203677512.html</t>
  </si>
  <si>
    <t>screenshot: case12.png</t>
  </si>
  <si>
    <t>CallCenterScam</t>
  </si>
  <si>
    <t>Fresh graduate cheated of Rs 48,000 by fake call-center job</t>
  </si>
  <si>
    <t>https://www.news18.com/india/fresh-graduate-loses-rs48000-in-fake-call-centre-job-scam-8896035.html</t>
  </si>
  <si>
    <t>screenshot: case13.png</t>
  </si>
  <si>
    <t>PlacementPromise</t>
  </si>
  <si>
    <t>Students paid for "assured placement" programme; no companies visited campus</t>
  </si>
  <si>
    <t>https://www.hindustantimes.com/education/job-guarantee-course-scam-students-left-without-placement-101704786321164.html</t>
  </si>
  <si>
    <t>screenshot: case14.png</t>
  </si>
  <si>
    <t>EdTechScam</t>
  </si>
  <si>
    <t>LoanScam</t>
  </si>
  <si>
    <t>Students forced into illegal education loans by fraud EdTech sales teams</t>
  </si>
  <si>
    <t>https://www.thehindu.com/education/edtech-loan-scams-on-the-rise/article68046949.ece</t>
  </si>
  <si>
    <t>Govt_warning</t>
  </si>
  <si>
    <t>screenshot: case15.png</t>
  </si>
  <si>
    <t>RemoteJob</t>
  </si>
  <si>
    <t>MP man duped of Rs 1.1L in remote job scam via WhatsApp</t>
  </si>
  <si>
    <t>https://timesofindia.indiatimes.com/city/indore/mp-man-duped-of-1-1l-in-remote-job-scam/articleshow/121144223.cms</t>
  </si>
  <si>
    <t>screenshot: case16.png</t>
  </si>
  <si>
    <t>AdmissionScam</t>
  </si>
  <si>
    <t>Fake engineering college advertised AI/ML labs, but had no approval</t>
  </si>
  <si>
    <t>https://www.deccanchronicle.com/education/fake-engineering-college-busted-claims-ai-ml-labs-935272</t>
  </si>
  <si>
    <t>College_shut</t>
  </si>
  <si>
    <t>screenshot: case17.png</t>
  </si>
  <si>
    <t>InfluencerCourse</t>
  </si>
  <si>
    <t>Hundreds misled by influencer's “high-paying job” course</t>
  </si>
  <si>
    <t>https://www.indiatoday.in/education-today/news/story/influencer-job-course-scam-students-duped-2662919-2025-02-23</t>
  </si>
  <si>
    <t>screenshot: case18.png</t>
  </si>
  <si>
    <t>ITConsultancy</t>
  </si>
  <si>
    <t>Candidates cheated by fake consultancy offering IT jobs abroad</t>
  </si>
  <si>
    <t>https://www.thenewsminute.com/news/fake-it-consultancy-scam-cheats-jobseekers-90k</t>
  </si>
  <si>
    <t>Immigration_alert</t>
  </si>
  <si>
    <t>screenshot: case19.png</t>
  </si>
  <si>
    <t>RemoteInternship</t>
  </si>
  <si>
    <t>Fake remote internship portal collected fees from 200+ students</t>
  </si>
  <si>
    <t>https://www.business-standard.com/india-news/remote-internship-portal-scam-collects-fees-from-students-20250128012345</t>
  </si>
  <si>
    <t>Police_inquiry</t>
  </si>
  <si>
    <t>screenshot: case20.png</t>
  </si>
  <si>
    <t>Pivot Name</t>
  </si>
  <si>
    <t>Fields Used</t>
  </si>
  <si>
    <t>Pivot_ScamType</t>
  </si>
  <si>
    <t>Create Pivot to count scam categories</t>
  </si>
  <si>
    <t>Rows: scam_category | Values: Count of id</t>
  </si>
  <si>
    <t>Pivot_Platform</t>
  </si>
  <si>
    <t>Create Pivot for platform distribution</t>
  </si>
  <si>
    <t>Rows: platform | Values: Count of id</t>
  </si>
  <si>
    <t>Pivot_MonthTrend</t>
  </si>
  <si>
    <t>Create Pivot to show monthly trend</t>
  </si>
  <si>
    <t>Rows: month | Values: Count of id (sort ascending)</t>
  </si>
  <si>
    <t>Pivot_FinancialLoss</t>
  </si>
  <si>
    <t>Create Pivot to calculate total financial loss per category</t>
  </si>
  <si>
    <t>Rows: scam_category | Values: Sum(amount_claimed_lost)</t>
  </si>
  <si>
    <t>Pivot_TopLossCases</t>
  </si>
  <si>
    <t>Optional: Identify top high-loss cases</t>
  </si>
  <si>
    <t>Filter: Sort amount_claimed_lost descending | Show top 5 rows</t>
  </si>
  <si>
    <t>Chart</t>
  </si>
  <si>
    <t>Name</t>
  </si>
  <si>
    <t>Data Source</t>
  </si>
  <si>
    <t>Description</t>
  </si>
  <si>
    <t>Chart 1</t>
  </si>
  <si>
    <t>Scam Category Chart</t>
  </si>
  <si>
    <t>Column chart showing number of cases per scam type</t>
  </si>
  <si>
    <t>Chart 2</t>
  </si>
  <si>
    <t>Platform Distribution</t>
  </si>
  <si>
    <t>Pie/Donut chart showing distribution of complaints by platform</t>
  </si>
  <si>
    <t>Chart 3</t>
  </si>
  <si>
    <t>Monthly Trend Chart</t>
  </si>
  <si>
    <t>Line chart showing scam cases month-wise</t>
  </si>
  <si>
    <t>Chart 4</t>
  </si>
  <si>
    <t>Financial Loss Chart</t>
  </si>
  <si>
    <t>Column chart showing total financial loss by scam type</t>
  </si>
  <si>
    <t>Chart 5</t>
  </si>
  <si>
    <t>Top Loss Cases (Optional)</t>
  </si>
  <si>
    <t>Table/chart of top 5 highest financial loss incidents</t>
  </si>
  <si>
    <t>Row Labels</t>
  </si>
  <si>
    <t>(blank)</t>
  </si>
  <si>
    <t>Grand Total</t>
  </si>
  <si>
    <t>Count of id</t>
  </si>
  <si>
    <t>month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</si>
  <si>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</si>
  <si>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</si>
  <si>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</si>
  <si>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</si>
  <si>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</si>
  <si>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</si>
  <si>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</si>
  <si>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</si>
  <si>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</si>
  <si>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</si>
  <si>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</si>
  <si>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</si>
  <si>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2025-09</t>
  </si>
  <si>
    <t>2025-11</t>
  </si>
  <si>
    <t>Sum of amount_claimed_lost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</si>
</sst>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14" fontId="0" fillId="0" borderId="0" xfId="0" applyNumberFormat="1"/>
    <xf numFmtId="0" fontId="2" fillId="0" borderId="0" xfId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[Dashboard.xlsx]Pivots!PivotTable2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Number</a:t>
            </a:r>
            <a:r>
              <a:rPr lang="en-IN" baseline="0"/>
              <a:t> of Scam Cases by Scam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Pivots!$A$11:$A$18</c:f>
              <c:strCache>
                <c:ptCount val="7"/>
                <c:pt idx="0">
                  <c:v>CourseScam</c:v>
                </c:pt>
                <c:pt idx="1">
                  <c:v>EdTechScam</c:v>
                </c:pt>
                <c:pt idx="2">
                  <c:v>FakeCollege</c:v>
                </c:pt>
                <c:pt idx="3">
                  <c:v>InternshipScam</c:v>
                </c:pt>
                <c:pt idx="4">
                  <c:v>JobOfferScam</c:v>
                </c:pt>
                <c:pt idx="5">
                  <c:v>TrainingScam</c:v>
                </c:pt>
                <c:pt idx="6">
                  <c:v>(blank)</c:v>
                </c:pt>
              </c:strCache>
            </c:strRef>
          </c:cat>
          <c:val>
            <c:numRef>
              <c:f>Pivots!$B$11:$B$18</c:f>
              <c:numCache>
                <c:formatCode>General</c:formatCode>
                <c:ptCount val="7"/>
                <c:pt idx="0">
                  <c:v>4</c:v>
                </c:pt>
                <c:pt idx="1">
                  <c:v>1</c:v>
                </c:pt>
                <c:pt idx="2">
                  <c:v>3</c:v>
                </c:pt>
                <c:pt idx="3">
                  <c:v>3</c:v>
                </c:pt>
                <c:pt idx="4">
                  <c:v>7</c:v>
                </c:pt>
                <c:pt idx="5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63-44F2-B076-E15367AF4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965807"/>
        <c:axId val="539974447"/>
      </c:barChart>
      <c:catAx>
        <c:axId val="53996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974447"/>
        <c:crosses val="autoZero"/>
        <c:auto val="1"/>
        <c:lblAlgn val="ctr"/>
        <c:lblOffset val="100"/>
        <c:noMultiLvlLbl val="0"/>
      </c:catAx>
      <c:valAx>
        <c:axId val="539974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965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[Dashboard.xlsx]Pivots!PivotTable3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Complaints</a:t>
            </a:r>
            <a:r>
              <a:rPr lang="en-IN" baseline="0"/>
              <a:t> Distribution by Platform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Pivots!$B$22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C71-4F85-BD64-F44BD57C59A9}"/>
              </c:ext>
            </c:extLst>
          </c:dPt>
          <c:cat>
            <c:strRef>
              <c:f>Pivots!$A$23:$A$24</c:f>
              <c:strCache>
                <c:ptCount val="1"/>
                <c:pt idx="0">
                  <c:v>News</c:v>
                </c:pt>
              </c:strCache>
            </c:strRef>
          </c:cat>
          <c:val>
            <c:numRef>
              <c:f>Pivots!$B$23:$B$24</c:f>
              <c:numCache>
                <c:formatCode>General</c:formatCode>
                <c:ptCount val="1"/>
                <c:pt idx="0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C71-4F85-BD64-F44BD57C59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[Dashboard.xlsx]Pivots!PivotTable6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Scam</a:t>
            </a:r>
            <a:r>
              <a:rPr lang="en-IN" baseline="0"/>
              <a:t> Trend Over Time(Monthly)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Pivots!$B$34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Pivots!$A$35:$A$49</c:f>
              <c:strCache>
                <c:ptCount val="14"/>
                <c:pt idx="0">
                  <c:v>2024-08</c:v>
                </c:pt>
                <c:pt idx="1">
                  <c:v>2024-09</c:v>
                </c:pt>
                <c:pt idx="2">
                  <c:v>2024-10</c:v>
                </c:pt>
                <c:pt idx="3">
                  <c:v>2024-11</c:v>
                </c:pt>
                <c:pt idx="4">
                  <c:v>2024-12</c:v>
                </c:pt>
                <c:pt idx="5">
                  <c:v>2025-01</c:v>
                </c:pt>
                <c:pt idx="6">
                  <c:v>2025-02</c:v>
                </c:pt>
                <c:pt idx="7">
                  <c:v>2025-03</c:v>
                </c:pt>
                <c:pt idx="8">
                  <c:v>2025-04</c:v>
                </c:pt>
                <c:pt idx="9">
                  <c:v>2025-05</c:v>
                </c:pt>
                <c:pt idx="10">
                  <c:v>2025-06</c:v>
                </c:pt>
                <c:pt idx="11">
                  <c:v>2025-07</c:v>
                </c:pt>
                <c:pt idx="12">
                  <c:v>2025-09</c:v>
                </c:pt>
                <c:pt idx="13">
                  <c:v>2025-11</c:v>
                </c:pt>
              </c:strCache>
            </c:strRef>
          </c:cat>
          <c:val>
            <c:numRef>
              <c:f>Pivots!$B$35:$B$49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3</c:v>
                </c:pt>
                <c:pt idx="6">
                  <c:v>2</c:v>
                </c:pt>
                <c:pt idx="7">
                  <c:v>2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A-4253-9069-85D85B9347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0011887"/>
        <c:axId val="540006607"/>
      </c:lineChart>
      <c:catAx>
        <c:axId val="540011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006607"/>
        <c:crosses val="autoZero"/>
        <c:auto val="1"/>
        <c:lblAlgn val="ctr"/>
        <c:lblOffset val="100"/>
        <c:noMultiLvlLbl val="0"/>
      </c:catAx>
      <c:valAx>
        <c:axId val="540006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0118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[Dashboard.xlsx]Pivots!PivotTable7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Total</a:t>
            </a:r>
            <a:r>
              <a:rPr lang="en-IN" baseline="0"/>
              <a:t> Financial Loss by Scam Type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Pivots!$B$55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Pivots!$A$56:$A$62</c:f>
              <c:strCache>
                <c:ptCount val="6"/>
                <c:pt idx="0">
                  <c:v>CourseScam</c:v>
                </c:pt>
                <c:pt idx="1">
                  <c:v>EdTechScam</c:v>
                </c:pt>
                <c:pt idx="2">
                  <c:v>FakeCollege</c:v>
                </c:pt>
                <c:pt idx="3">
                  <c:v>InternshipScam</c:v>
                </c:pt>
                <c:pt idx="4">
                  <c:v>JobOfferScam</c:v>
                </c:pt>
                <c:pt idx="5">
                  <c:v>TrainingScam</c:v>
                </c:pt>
              </c:strCache>
            </c:strRef>
          </c:cat>
          <c:val>
            <c:numRef>
              <c:f>Pivots!$B$56:$B$62</c:f>
              <c:numCache>
                <c:formatCode>General</c:formatCode>
                <c:ptCount val="6"/>
                <c:pt idx="0">
                  <c:v>5307000</c:v>
                </c:pt>
                <c:pt idx="1">
                  <c:v>0</c:v>
                </c:pt>
                <c:pt idx="2">
                  <c:v>0</c:v>
                </c:pt>
                <c:pt idx="3">
                  <c:v>23000</c:v>
                </c:pt>
                <c:pt idx="4">
                  <c:v>19193000</c:v>
                </c:pt>
                <c:pt idx="5">
                  <c:v>2000000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39-4018-A989-DB8C541F69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998447"/>
        <c:axId val="540015727"/>
      </c:barChart>
      <c:catAx>
        <c:axId val="53999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0015727"/>
        <c:crosses val="autoZero"/>
        <c:auto val="1"/>
        <c:lblAlgn val="ctr"/>
        <c:lblOffset val="100"/>
        <c:noMultiLvlLbl val="0"/>
      </c:catAx>
      <c:valAx>
        <c:axId val="54001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99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174265</xdr:rowOff>
    </xdr:from>
    <xdr:to>
      <xdr:col>3</xdr:col>
      <xdr:colOff>1150620</xdr:colOff>
      <xdr:row>21</xdr:row>
      <xdr:rowOff>174265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341DB5A-EC2D-B36B-EC17-FF0496872EB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1225495</xdr:colOff>
      <xdr:row>7</xdr:row>
      <xdr:rowOff>14577</xdr:rowOff>
    </xdr:from>
    <xdr:to>
      <xdr:col>7</xdr:col>
      <xdr:colOff>333955</xdr:colOff>
      <xdr:row>22</xdr:row>
      <xdr:rowOff>14577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1E71EE-2D4D-7DD6-5E5C-9067A1061C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13915</xdr:colOff>
      <xdr:row>24</xdr:row>
      <xdr:rowOff>10270</xdr:rowOff>
    </xdr:from>
    <xdr:to>
      <xdr:col>3</xdr:col>
      <xdr:colOff>1164535</xdr:colOff>
      <xdr:row>39</xdr:row>
      <xdr:rowOff>10270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A412539-DEEF-3F43-4DBC-BE925331C5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1275190</xdr:colOff>
      <xdr:row>24</xdr:row>
      <xdr:rowOff>2981</xdr:rowOff>
    </xdr:from>
    <xdr:to>
      <xdr:col>7</xdr:col>
      <xdr:colOff>383650</xdr:colOff>
      <xdr:row>39</xdr:row>
      <xdr:rowOff>2981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DBD0F0C-799D-31F5-8E3E-005DEDB5AB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HAGONI SAINATH" refreshedDate="45988.54090659722" createdVersion="8" refreshedVersion="8" minRefreshableVersion="3" recordCount="21" xr:uid="{8257BB80-113E-4609-AA10-E2E1A7A97F80}">
  <cacheSource type="worksheet">
    <worksheetSource ref="A1:R1048576" sheet="raw_data"/>
  </cacheSource>
  <cacheFields count="18">
    <cacheField name="id" numFmtId="0">
      <sharedItems containsString="0" containsBlank="1" containsNumber="1" containsInteger="1" minValue="1" maxValue="20"/>
    </cacheField>
    <cacheField name="platform" numFmtId="0">
      <sharedItems containsBlank="1"/>
    </cacheField>
    <cacheField name="source_type" numFmtId="0">
      <sharedItems containsBlank="1"/>
    </cacheField>
    <cacheField name="date" numFmtId="0">
      <sharedItems containsNonDate="0" containsDate="1" containsString="0" containsBlank="1" minDate="2024-08-21T00:00:00" maxDate="2025-11-09T00:00:00"/>
    </cacheField>
    <cacheField name="author" numFmtId="0">
      <sharedItems containsBlank="1"/>
    </cacheField>
    <cacheField name="country" numFmtId="0">
      <sharedItems containsBlank="1"/>
    </cacheField>
    <cacheField name="scam_category" numFmtId="0">
      <sharedItems containsBlank="1" count="7">
        <s v="CourseScam"/>
        <s v="JobOfferScam"/>
        <s v="TrainingScam"/>
        <s v="InternshipScam"/>
        <s v="FakeCollege"/>
        <s v="EdTechScam"/>
        <m/>
      </sharedItems>
    </cacheField>
    <cacheField name="sub_type" numFmtId="0">
      <sharedItems containsBlank="1"/>
    </cacheField>
    <cacheField name="short_description" numFmtId="0">
      <sharedItems containsBlank="1"/>
    </cacheField>
    <cacheField name="amount_claimed_lost" numFmtId="0">
      <sharedItems containsBlank="1" containsMixedTypes="1" containsNumber="1" containsInteger="1" minValue="8000" maxValue="12000000"/>
    </cacheField>
    <cacheField name="currency" numFmtId="0">
      <sharedItems containsBlank="1"/>
    </cacheField>
    <cacheField name="evidence_link" numFmtId="0">
      <sharedItems containsBlank="1"/>
    </cacheField>
    <cacheField name="engagement_likes" numFmtId="0">
      <sharedItems containsBlank="1"/>
    </cacheField>
    <cacheField name="engagement_shares" numFmtId="0">
      <sharedItems containsBlank="1"/>
    </cacheField>
    <cacheField name="sentiment" numFmtId="0">
      <sharedItems containsBlank="1"/>
    </cacheField>
    <cacheField name="veracity" numFmtId="0">
      <sharedItems containsBlank="1"/>
    </cacheField>
    <cacheField name="action_taken" numFmtId="0">
      <sharedItems containsBlank="1"/>
    </cacheField>
    <cacheField name="not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HAGONI SAINATH" refreshedDate="45988.547301041668" createdVersion="8" refreshedVersion="8" minRefreshableVersion="3" recordCount="20" xr:uid="{61EE48F4-9F34-4391-A2E1-364EF6269A7D}">
  <cacheSource type="worksheet">
    <worksheetSource ref="A1:R21" sheet="raw_data"/>
  </cacheSource>
  <cacheFields count="18">
    <cacheField name="id" numFmtId="0">
      <sharedItems containsSemiMixedTypes="0" containsString="0" containsNumber="1" containsInteger="1" minValue="1" maxValue="20"/>
    </cacheField>
    <cacheField name="platform" numFmtId="0">
      <sharedItems count="1">
        <s v="News"/>
      </sharedItems>
    </cacheField>
    <cacheField name="source_type" numFmtId="0">
      <sharedItems/>
    </cacheField>
    <cacheField name="date" numFmtId="14">
      <sharedItems containsSemiMixedTypes="0" containsNonDate="0" containsDate="1" containsString="0" minDate="2024-08-21T00:00:00" maxDate="2025-11-09T00:00:00"/>
    </cacheField>
    <cacheField name="author" numFmtId="0">
      <sharedItems/>
    </cacheField>
    <cacheField name="country" numFmtId="0">
      <sharedItems/>
    </cacheField>
    <cacheField name="scam_category" numFmtId="0">
      <sharedItems/>
    </cacheField>
    <cacheField name="sub_type" numFmtId="0">
      <sharedItems/>
    </cacheField>
    <cacheField name="short_description" numFmtId="0">
      <sharedItems/>
    </cacheField>
    <cacheField name="amount_claimed_lost" numFmtId="0">
      <sharedItems containsMixedTypes="1" containsNumber="1" containsInteger="1" minValue="8000" maxValue="12000000"/>
    </cacheField>
    <cacheField name="currency" numFmtId="0">
      <sharedItems/>
    </cacheField>
    <cacheField name="evidence_link" numFmtId="0">
      <sharedItems/>
    </cacheField>
    <cacheField name="engagement_likes" numFmtId="0">
      <sharedItems/>
    </cacheField>
    <cacheField name="engagement_shares" numFmtId="0">
      <sharedItems/>
    </cacheField>
    <cacheField name="sentiment" numFmtId="0">
      <sharedItems/>
    </cacheField>
    <cacheField name="veracity" numFmtId="0">
      <sharedItems/>
    </cacheField>
    <cacheField name="action_taken" numFmtId="0">
      <sharedItems/>
    </cacheField>
    <cacheField name="note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DHAGONI SAINATH" refreshedDate="45988.553603009263" createdVersion="8" refreshedVersion="8" minRefreshableVersion="3" recordCount="20" xr:uid="{A922D2DC-9049-4FDE-866B-6E3193227934}">
  <cacheSource type="worksheet">
    <worksheetSource ref="A1:S21" sheet="raw_data"/>
  </cacheSource>
  <cacheFields count="19">
    <cacheField name="id" numFmtId="0">
      <sharedItems containsSemiMixedTypes="0" containsString="0" containsNumber="1" containsInteger="1" minValue="1" maxValue="20"/>
    </cacheField>
    <cacheField name="platform" numFmtId="0">
      <sharedItems/>
    </cacheField>
    <cacheField name="source_type" numFmtId="0">
      <sharedItems/>
    </cacheField>
    <cacheField name="date" numFmtId="14">
      <sharedItems containsSemiMixedTypes="0" containsNonDate="0" containsDate="1" containsString="0" minDate="2024-08-21T00:00:00" maxDate="2025-11-09T00:00:00"/>
    </cacheField>
    <cacheField name="author" numFmtId="0">
      <sharedItems/>
    </cacheField>
    <cacheField name="country" numFmtId="0">
      <sharedItems/>
    </cacheField>
    <cacheField name="scam_category" numFmtId="0">
      <sharedItems count="6">
        <s v="CourseScam"/>
        <s v="JobOfferScam"/>
        <s v="TrainingScam"/>
        <s v="InternshipScam"/>
        <s v="FakeCollege"/>
        <s v="EdTechScam"/>
      </sharedItems>
    </cacheField>
    <cacheField name="sub_type" numFmtId="0">
      <sharedItems/>
    </cacheField>
    <cacheField name="short_description" numFmtId="0">
      <sharedItems/>
    </cacheField>
    <cacheField name="amount_claimed_lost" numFmtId="0">
      <sharedItems containsMixedTypes="1" containsNumber="1" containsInteger="1" minValue="8000" maxValue="12000000"/>
    </cacheField>
    <cacheField name="currency" numFmtId="0">
      <sharedItems/>
    </cacheField>
    <cacheField name="evidence_link" numFmtId="0">
      <sharedItems/>
    </cacheField>
    <cacheField name="engagement_likes" numFmtId="0">
      <sharedItems/>
    </cacheField>
    <cacheField name="engagement_shares" numFmtId="0">
      <sharedItems/>
    </cacheField>
    <cacheField name="sentiment" numFmtId="0">
      <sharedItems/>
    </cacheField>
    <cacheField name="veracity" numFmtId="0">
      <sharedItems/>
    </cacheField>
    <cacheField name="action_taken" numFmtId="0">
      <sharedItems/>
    </cacheField>
    <cacheField name="notes" numFmtId="0">
      <sharedItems/>
    </cacheField>
    <cacheField name="month" numFmtId="0">
      <sharedItems count="14">
        <s v="2025-09"/>
        <s v="2025-11"/>
        <s v="2025-06"/>
        <s v="2024-08"/>
        <s v="2024-12"/>
        <s v="2025-07"/>
        <s v="2025-03"/>
        <s v="2024-11"/>
        <s v="2025-01"/>
        <s v="2025-02"/>
        <s v="2025-04"/>
        <s v="2024-10"/>
        <s v="2025-05"/>
        <s v="2024-09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">
  <r>
    <n v="1"/>
    <s v="News"/>
    <s v="NewsArticle"/>
    <d v="2025-09-15T00:00:00"/>
    <s v="[REDACTED]"/>
    <s v="India"/>
    <x v="0"/>
    <s v="FakeCourse"/>
    <s v="40 Surat students lost Rs 52.27L to fake tech course promising jobs"/>
    <n v="5227000"/>
    <s v="INR"/>
    <s v="https://timesofindia.indiatimes.com/city/surat/hacked-dreams-40-students-lose-52l-to-fake-tech-courses/articleshow/122669778.cms"/>
    <s v="NA"/>
    <s v="Negative"/>
    <s v="Reported"/>
    <s v="FIR_registered"/>
    <s v="screenshot: case1.png"/>
    <s v="NA"/>
  </r>
  <r>
    <n v="2"/>
    <s v="News"/>
    <s v="NewsArticle"/>
    <d v="2025-11-08T00:00:00"/>
    <s v="[REDACTED]"/>
    <s v="India"/>
    <x v="1"/>
    <s v="FakeHR"/>
    <s v="Constable cheated of Rs 6.4L in fake Uniqlo job offer scam"/>
    <n v="640000"/>
    <s v="INR"/>
    <s v="https://timesofindia.indiatimes.com/city/hyderabad/cyber-cons-dupe-constable-of-6-4l-in-fake-uniqlo-job-scam/articleshow/125190666.cms"/>
    <s v="NA"/>
    <s v="Negative"/>
    <s v="Reported"/>
    <s v="FIR_registered"/>
    <s v="screenshot: case2.png"/>
    <s v="NA"/>
  </r>
  <r>
    <n v="3"/>
    <s v="News"/>
    <s v="NewsArticle"/>
    <d v="2025-06-19T00:00:00"/>
    <s v="[REDACTED]"/>
    <s v="India"/>
    <x v="2"/>
    <s v="PaidTraining"/>
    <s v="Bengaluru students scammed in paid online internship scheme"/>
    <s v="NA"/>
    <s v="NA"/>
    <s v="NA"/>
    <s v="https://timesofindia.indiatimes.com/city/bengaluru/several-bengaluru-students-fall-prey-to-online-internship-scams/articleshow/121938429.cms"/>
    <s v="NA"/>
    <s v="Negative"/>
    <s v="Alleged"/>
    <s v="None"/>
    <s v="screenshot: case3.png"/>
  </r>
  <r>
    <n v="4"/>
    <s v="News"/>
    <s v="NewsArticle"/>
    <d v="2024-08-21T00:00:00"/>
    <s v="[REDACTED]"/>
    <s v="India"/>
    <x v="3"/>
    <s v="FakeInternship"/>
    <s v="Woman nearly scammed by fake internship demanding registration fee"/>
    <n v="15000"/>
    <s v="INR"/>
    <s v="https://www.ndtv.com/offbeat/watch-woman-hired-as-intern-shares-how-she-nearly-got-scammed-by-a-fake-company-6387891"/>
    <s v="NA"/>
    <s v="Negative"/>
    <s v="Alleged"/>
    <s v="None"/>
    <s v="screenshot: case4.png"/>
    <s v="NA"/>
  </r>
  <r>
    <n v="5"/>
    <s v="News"/>
    <s v="NewsArticle"/>
    <d v="2024-12-26T00:00:00"/>
    <s v="[REDACTED]"/>
    <s v="India"/>
    <x v="1"/>
    <s v="PartTimeJob"/>
    <s v="27-year-old man lost Rs 57.75L in part-time task scam"/>
    <n v="5775000"/>
    <s v="INR"/>
    <s v="https://www.indiatoday.in/technology/news/story/27-year-old-man-loses-rs-57-lakh-in-part-time-job-scam-2655724-2024-12-26"/>
    <s v="NA"/>
    <s v="Negative"/>
    <s v="Reported"/>
    <s v="FIR_registered"/>
    <s v="screenshot: case5.png"/>
    <s v="NA"/>
  </r>
  <r>
    <n v="6"/>
    <s v="News"/>
    <s v="NewsArticle"/>
    <d v="2025-07-01T00:00:00"/>
    <s v="[REDACTED]"/>
    <s v="India"/>
    <x v="4"/>
    <s v="FakeCertificates"/>
    <s v="UP fake certificate scam exposed with 8000 fake degrees identified"/>
    <s v="NA"/>
    <s v="NA"/>
    <s v="NA"/>
    <s v="https://timesofindia.indiatimes.com/india/sc-flags-large-scale-fake-certificate-fraud-in-up/articleshow/122169070.cms"/>
    <s v="NA"/>
    <s v="Negative"/>
    <s v="Reported"/>
    <s v="Investigation_ongoing"/>
    <s v="screenshot: case6.png"/>
  </r>
  <r>
    <n v="7"/>
    <s v="News"/>
    <s v="NewsArticle"/>
    <d v="2025-03-13T00:00:00"/>
    <s v="[REDACTED]"/>
    <s v="India"/>
    <x v="1"/>
    <s v="FakePlacement"/>
    <s v="24 people duped of Rs 1.2 crore through fake IT job placements"/>
    <n v="12000000"/>
    <s v="INR"/>
    <s v="https://timesofindia.indiatimes.com/city/kochi/24-people-duped-of-1-2-crore-through-fake-it-job-placements/articleshow/120630712.cms"/>
    <s v="NA"/>
    <s v="Negative"/>
    <s v="Reported"/>
    <s v="FIR_registered"/>
    <s v="screenshot: case7.png"/>
    <s v="NA"/>
  </r>
  <r>
    <n v="8"/>
    <s v="News"/>
    <s v="NewsArticle"/>
    <d v="2024-11-10T00:00:00"/>
    <s v="[REDACTED]"/>
    <s v="India"/>
    <x v="0"/>
    <s v="NoRefund"/>
    <s v="Students protest after EdTech refused refunds for cancelled course"/>
    <n v="25000"/>
    <s v="INR"/>
    <s v="https://www.hindustantimes.com/education/students-protest-against-edtech-refund-issues-101699628387362.html"/>
    <s v="NA"/>
    <s v="Negative"/>
    <s v="Alleged"/>
    <s v="None"/>
    <s v="screenshot: case8.png"/>
    <s v="NA"/>
  </r>
  <r>
    <n v="9"/>
    <s v="News"/>
    <s v="NewsArticle"/>
    <d v="2025-01-20T00:00:00"/>
    <s v="[REDACTED]"/>
    <s v="India"/>
    <x v="1"/>
    <s v="TelegramJob"/>
    <s v="Pune man loses Rs 5.3L in Telegram task fraud"/>
    <n v="530000"/>
    <s v="INR"/>
    <s v="https://indianexpress.com/article/cities/pune/pune-man-loses-rs-5-3-lakh-in-online-task-fraud-9132471/"/>
    <s v="NA"/>
    <s v="Negative"/>
    <s v="Reported"/>
    <s v="FIR_registered"/>
    <s v="screenshot: case9.png"/>
    <s v="NA"/>
  </r>
  <r>
    <n v="10"/>
    <s v="News"/>
    <s v="NewsArticle"/>
    <d v="2025-02-05T00:00:00"/>
    <s v="[REDACTED]"/>
    <s v="India"/>
    <x v="2"/>
    <s v="SkillCourse"/>
    <s v="Fake skill-training institute collected Rs 20L from 60 students"/>
    <n v="2000000"/>
    <s v="INR"/>
    <s v="https://timesofindia.indiatimes.com/city/chennai/fake-skill-training-institute-dupes-students-of-20l/articleshow/123126772.cms"/>
    <s v="NA"/>
    <s v="Negative"/>
    <s v="Reported"/>
    <s v="Police_raid"/>
    <s v="screenshot: case10.png"/>
    <s v="NA"/>
  </r>
  <r>
    <n v="11"/>
    <s v="News"/>
    <s v="NewsArticle"/>
    <d v="2025-04-14T00:00:00"/>
    <s v="[REDACTED]"/>
    <s v="India"/>
    <x v="4"/>
    <s v="FakeUniversity"/>
    <s v="Students discover their MBA college was unapproved, degrees invalid"/>
    <s v="NA"/>
    <s v="NA"/>
    <s v="NA"/>
    <s v="https://timesofindia.indiatimes.com/city/mumbai/mumbai-students-stunned-as-mba-college-turns-out-unapproved/articleshow/123728991.cms"/>
    <s v="NA"/>
    <s v="Negative"/>
    <s v="Reported"/>
    <s v="Govt_action"/>
    <s v="screenshot: case11.png"/>
  </r>
  <r>
    <n v="12"/>
    <s v="News"/>
    <s v="NewsArticle"/>
    <d v="2024-10-02T00:00:00"/>
    <s v="[REDACTED]"/>
    <s v="India"/>
    <x v="3"/>
    <s v="StipendFraud"/>
    <s v="Students denied promised stipends after internship scam exposed"/>
    <n v="8000"/>
    <s v="INR"/>
    <s v="https://www.livemint.com/education/news/students-denied-stipend-internship-scam-11770203677512.html"/>
    <s v="NA"/>
    <s v="Negative"/>
    <s v="Alleged"/>
    <s v="None"/>
    <s v="screenshot: case12.png"/>
    <s v="NA"/>
  </r>
  <r>
    <n v="13"/>
    <s v="News"/>
    <s v="NewsArticle"/>
    <d v="2025-05-18T00:00:00"/>
    <s v="[REDACTED]"/>
    <s v="India"/>
    <x v="1"/>
    <s v="CallCenterScam"/>
    <s v="Fresh graduate cheated of Rs 48,000 by fake call-center job"/>
    <n v="48000"/>
    <s v="INR"/>
    <s v="https://www.news18.com/india/fresh-graduate-loses-rs48000-in-fake-call-centre-job-scam-8896035.html"/>
    <s v="NA"/>
    <s v="Negative"/>
    <s v="Alleged"/>
    <s v="None"/>
    <s v="screenshot: case13.png"/>
    <s v="NA"/>
  </r>
  <r>
    <n v="14"/>
    <s v="News"/>
    <s v="NewsArticle"/>
    <d v="2025-01-09T00:00:00"/>
    <s v="[REDACTED]"/>
    <s v="India"/>
    <x v="0"/>
    <s v="PlacementPromise"/>
    <s v="Students paid for &quot;assured placement&quot; programme; no companies visited campus"/>
    <n v="45000"/>
    <s v="INR"/>
    <s v="https://www.hindustantimes.com/education/job-guarantee-course-scam-students-left-without-placement-101704786321164.html"/>
    <s v="NA"/>
    <s v="Negative"/>
    <s v="Alleged"/>
    <s v="None"/>
    <s v="screenshot: case14.png"/>
    <s v="NA"/>
  </r>
  <r>
    <n v="15"/>
    <s v="News"/>
    <s v="NewsArticle"/>
    <d v="2024-12-08T00:00:00"/>
    <s v="[REDACTED]"/>
    <s v="India"/>
    <x v="5"/>
    <s v="LoanScam"/>
    <s v="Students forced into illegal education loans by fraud EdTech sales teams"/>
    <s v="NA"/>
    <s v="NA"/>
    <s v="NA"/>
    <s v="https://www.thehindu.com/education/edtech-loan-scams-on-the-rise/article68046949.ece"/>
    <s v="NA"/>
    <s v="Negative"/>
    <s v="Reported"/>
    <s v="Govt_warning"/>
    <s v="screenshot: case15.png"/>
  </r>
  <r>
    <n v="16"/>
    <s v="News"/>
    <s v="NewsArticle"/>
    <d v="2024-09-21T00:00:00"/>
    <s v="[REDACTED]"/>
    <s v="India"/>
    <x v="1"/>
    <s v="RemoteJob"/>
    <s v="MP man duped of Rs 1.1L in remote job scam via WhatsApp"/>
    <n v="110000"/>
    <s v="INR"/>
    <s v="https://timesofindia.indiatimes.com/city/indore/mp-man-duped-of-1-1l-in-remote-job-scam/articleshow/121144223.cms"/>
    <s v="NA"/>
    <s v="Negative"/>
    <s v="Reported"/>
    <s v="FIR_registered"/>
    <s v="screenshot: case16.png"/>
    <s v="NA"/>
  </r>
  <r>
    <n v="17"/>
    <s v="News"/>
    <s v="NewsArticle"/>
    <d v="2025-03-29T00:00:00"/>
    <s v="[REDACTED]"/>
    <s v="India"/>
    <x v="4"/>
    <s v="AdmissionScam"/>
    <s v="Fake engineering college advertised AI/ML labs, but had no approval"/>
    <s v="NA"/>
    <s v="NA"/>
    <s v="NA"/>
    <s v="https://www.deccanchronicle.com/education/fake-engineering-college-busted-claims-ai-ml-labs-935272"/>
    <s v="NA"/>
    <s v="Negative"/>
    <s v="Reported"/>
    <s v="College_shut"/>
    <s v="screenshot: case17.png"/>
  </r>
  <r>
    <n v="18"/>
    <s v="News"/>
    <s v="NewsArticle"/>
    <d v="2025-02-23T00:00:00"/>
    <s v="[REDACTED]"/>
    <s v="India"/>
    <x v="0"/>
    <s v="InfluencerCourse"/>
    <s v="Hundreds misled by influencer's “high-paying job” course"/>
    <n v="10000"/>
    <s v="INR"/>
    <s v="https://www.indiatoday.in/education-today/news/story/influencer-job-course-scam-students-duped-2662919-2025-02-23"/>
    <s v="NA"/>
    <s v="Negative"/>
    <s v="Alleged"/>
    <s v="None"/>
    <s v="screenshot: case18.png"/>
    <s v="NA"/>
  </r>
  <r>
    <n v="19"/>
    <s v="News"/>
    <s v="NewsArticle"/>
    <d v="2024-11-27T00:00:00"/>
    <s v="[REDACTED]"/>
    <s v="India"/>
    <x v="1"/>
    <s v="ITConsultancy"/>
    <s v="Candidates cheated by fake consultancy offering IT jobs abroad"/>
    <n v="90000"/>
    <s v="INR"/>
    <s v="https://www.thenewsminute.com/news/fake-it-consultancy-scam-cheats-jobseekers-90k"/>
    <s v="NA"/>
    <s v="Negative"/>
    <s v="Reported"/>
    <s v="Immigration_alert"/>
    <s v="screenshot: case19.png"/>
    <s v="NA"/>
  </r>
  <r>
    <n v="20"/>
    <s v="News"/>
    <s v="NewsArticle"/>
    <d v="2025-01-28T00:00:00"/>
    <s v="[REDACTED]"/>
    <s v="India"/>
    <x v="3"/>
    <s v="RemoteInternship"/>
    <s v="Fake remote internship portal collected fees from 200+ students"/>
    <s v="NA"/>
    <s v="NA"/>
    <s v="NA"/>
    <s v="https://www.business-standard.com/india-news/remote-internship-portal-scam-collects-fees-from-students-20250128012345"/>
    <s v="NA"/>
    <s v="Negative"/>
    <s v="Reported"/>
    <s v="Police_inquiry"/>
    <s v="screenshot: case20.png"/>
  </r>
  <r>
    <m/>
    <m/>
    <m/>
    <m/>
    <m/>
    <m/>
    <x v="6"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x v="0"/>
    <s v="NewsArticle"/>
    <d v="2025-09-15T00:00:00"/>
    <s v="[REDACTED]"/>
    <s v="India"/>
    <s v="CourseScam"/>
    <s v="FakeCourse"/>
    <s v="40 Surat students lost Rs 52.27L to fake tech course promising jobs"/>
    <n v="5227000"/>
    <s v="INR"/>
    <s v="https://timesofindia.indiatimes.com/city/surat/hacked-dreams-40-students-lose-52l-to-fake-tech-courses/articleshow/122669778.cms"/>
    <s v="NA"/>
    <s v="Negative"/>
    <s v="Reported"/>
    <s v="FIR_registered"/>
    <s v="screenshot: case1.png"/>
    <s v="NA"/>
  </r>
  <r>
    <n v="2"/>
    <x v="0"/>
    <s v="NewsArticle"/>
    <d v="2025-11-08T00:00:00"/>
    <s v="[REDACTED]"/>
    <s v="India"/>
    <s v="JobOfferScam"/>
    <s v="FakeHR"/>
    <s v="Constable cheated of Rs 6.4L in fake Uniqlo job offer scam"/>
    <n v="640000"/>
    <s v="INR"/>
    <s v="https://timesofindia.indiatimes.com/city/hyderabad/cyber-cons-dupe-constable-of-6-4l-in-fake-uniqlo-job-scam/articleshow/125190666.cms"/>
    <s v="NA"/>
    <s v="Negative"/>
    <s v="Reported"/>
    <s v="FIR_registered"/>
    <s v="screenshot: case2.png"/>
    <s v="NA"/>
  </r>
  <r>
    <n v="3"/>
    <x v="0"/>
    <s v="NewsArticle"/>
    <d v="2025-06-19T00:00:00"/>
    <s v="[REDACTED]"/>
    <s v="India"/>
    <s v="TrainingScam"/>
    <s v="PaidTraining"/>
    <s v="Bengaluru students scammed in paid online internship scheme"/>
    <s v="NA"/>
    <s v="NA"/>
    <s v="NA"/>
    <s v="https://timesofindia.indiatimes.com/city/bengaluru/several-bengaluru-students-fall-prey-to-online-internship-scams/articleshow/121938429.cms"/>
    <s v="NA"/>
    <s v="Negative"/>
    <s v="Alleged"/>
    <s v="None"/>
    <s v="screenshot: case3.png"/>
  </r>
  <r>
    <n v="4"/>
    <x v="0"/>
    <s v="NewsArticle"/>
    <d v="2024-08-21T00:00:00"/>
    <s v="[REDACTED]"/>
    <s v="India"/>
    <s v="InternshipScam"/>
    <s v="FakeInternship"/>
    <s v="Woman nearly scammed by fake internship demanding registration fee"/>
    <n v="15000"/>
    <s v="INR"/>
    <s v="https://www.ndtv.com/offbeat/watch-woman-hired-as-intern-shares-how-she-nearly-got-scammed-by-a-fake-company-6387891"/>
    <s v="NA"/>
    <s v="Negative"/>
    <s v="Alleged"/>
    <s v="None"/>
    <s v="screenshot: case4.png"/>
    <s v="NA"/>
  </r>
  <r>
    <n v="5"/>
    <x v="0"/>
    <s v="NewsArticle"/>
    <d v="2024-12-26T00:00:00"/>
    <s v="[REDACTED]"/>
    <s v="India"/>
    <s v="JobOfferScam"/>
    <s v="PartTimeJob"/>
    <s v="27-year-old man lost Rs 57.75L in part-time task scam"/>
    <n v="5775000"/>
    <s v="INR"/>
    <s v="https://www.indiatoday.in/technology/news/story/27-year-old-man-loses-rs-57-lakh-in-part-time-job-scam-2655724-2024-12-26"/>
    <s v="NA"/>
    <s v="Negative"/>
    <s v="Reported"/>
    <s v="FIR_registered"/>
    <s v="screenshot: case5.png"/>
    <s v="NA"/>
  </r>
  <r>
    <n v="6"/>
    <x v="0"/>
    <s v="NewsArticle"/>
    <d v="2025-07-01T00:00:00"/>
    <s v="[REDACTED]"/>
    <s v="India"/>
    <s v="FakeCollege"/>
    <s v="FakeCertificates"/>
    <s v="UP fake certificate scam exposed with 8000 fake degrees identified"/>
    <s v="NA"/>
    <s v="NA"/>
    <s v="NA"/>
    <s v="https://timesofindia.indiatimes.com/india/sc-flags-large-scale-fake-certificate-fraud-in-up/articleshow/122169070.cms"/>
    <s v="NA"/>
    <s v="Negative"/>
    <s v="Reported"/>
    <s v="Investigation_ongoing"/>
    <s v="screenshot: case6.png"/>
  </r>
  <r>
    <n v="7"/>
    <x v="0"/>
    <s v="NewsArticle"/>
    <d v="2025-03-13T00:00:00"/>
    <s v="[REDACTED]"/>
    <s v="India"/>
    <s v="JobOfferScam"/>
    <s v="FakePlacement"/>
    <s v="24 people duped of Rs 1.2 crore through fake IT job placements"/>
    <n v="12000000"/>
    <s v="INR"/>
    <s v="https://timesofindia.indiatimes.com/city/kochi/24-people-duped-of-1-2-crore-through-fake-it-job-placements/articleshow/120630712.cms"/>
    <s v="NA"/>
    <s v="Negative"/>
    <s v="Reported"/>
    <s v="FIR_registered"/>
    <s v="screenshot: case7.png"/>
    <s v="NA"/>
  </r>
  <r>
    <n v="8"/>
    <x v="0"/>
    <s v="NewsArticle"/>
    <d v="2024-11-10T00:00:00"/>
    <s v="[REDACTED]"/>
    <s v="India"/>
    <s v="CourseScam"/>
    <s v="NoRefund"/>
    <s v="Students protest after EdTech refused refunds for cancelled course"/>
    <n v="25000"/>
    <s v="INR"/>
    <s v="https://www.hindustantimes.com/education/students-protest-against-edtech-refund-issues-101699628387362.html"/>
    <s v="NA"/>
    <s v="Negative"/>
    <s v="Alleged"/>
    <s v="None"/>
    <s v="screenshot: case8.png"/>
    <s v="NA"/>
  </r>
  <r>
    <n v="9"/>
    <x v="0"/>
    <s v="NewsArticle"/>
    <d v="2025-01-20T00:00:00"/>
    <s v="[REDACTED]"/>
    <s v="India"/>
    <s v="JobOfferScam"/>
    <s v="TelegramJob"/>
    <s v="Pune man loses Rs 5.3L in Telegram task fraud"/>
    <n v="530000"/>
    <s v="INR"/>
    <s v="https://indianexpress.com/article/cities/pune/pune-man-loses-rs-5-3-lakh-in-online-task-fraud-9132471/"/>
    <s v="NA"/>
    <s v="Negative"/>
    <s v="Reported"/>
    <s v="FIR_registered"/>
    <s v="screenshot: case9.png"/>
    <s v="NA"/>
  </r>
  <r>
    <n v="10"/>
    <x v="0"/>
    <s v="NewsArticle"/>
    <d v="2025-02-05T00:00:00"/>
    <s v="[REDACTED]"/>
    <s v="India"/>
    <s v="TrainingScam"/>
    <s v="SkillCourse"/>
    <s v="Fake skill-training institute collected Rs 20L from 60 students"/>
    <n v="2000000"/>
    <s v="INR"/>
    <s v="https://timesofindia.indiatimes.com/city/chennai/fake-skill-training-institute-dupes-students-of-20l/articleshow/123126772.cms"/>
    <s v="NA"/>
    <s v="Negative"/>
    <s v="Reported"/>
    <s v="Police_raid"/>
    <s v="screenshot: case10.png"/>
    <s v="NA"/>
  </r>
  <r>
    <n v="11"/>
    <x v="0"/>
    <s v="NewsArticle"/>
    <d v="2025-04-14T00:00:00"/>
    <s v="[REDACTED]"/>
    <s v="India"/>
    <s v="FakeCollege"/>
    <s v="FakeUniversity"/>
    <s v="Students discover their MBA college was unapproved, degrees invalid"/>
    <s v="NA"/>
    <s v="NA"/>
    <s v="NA"/>
    <s v="https://timesofindia.indiatimes.com/city/mumbai/mumbai-students-stunned-as-mba-college-turns-out-unapproved/articleshow/123728991.cms"/>
    <s v="NA"/>
    <s v="Negative"/>
    <s v="Reported"/>
    <s v="Govt_action"/>
    <s v="screenshot: case11.png"/>
  </r>
  <r>
    <n v="12"/>
    <x v="0"/>
    <s v="NewsArticle"/>
    <d v="2024-10-02T00:00:00"/>
    <s v="[REDACTED]"/>
    <s v="India"/>
    <s v="InternshipScam"/>
    <s v="StipendFraud"/>
    <s v="Students denied promised stipends after internship scam exposed"/>
    <n v="8000"/>
    <s v="INR"/>
    <s v="https://www.livemint.com/education/news/students-denied-stipend-internship-scam-11770203677512.html"/>
    <s v="NA"/>
    <s v="Negative"/>
    <s v="Alleged"/>
    <s v="None"/>
    <s v="screenshot: case12.png"/>
    <s v="NA"/>
  </r>
  <r>
    <n v="13"/>
    <x v="0"/>
    <s v="NewsArticle"/>
    <d v="2025-05-18T00:00:00"/>
    <s v="[REDACTED]"/>
    <s v="India"/>
    <s v="JobOfferScam"/>
    <s v="CallCenterScam"/>
    <s v="Fresh graduate cheated of Rs 48,000 by fake call-center job"/>
    <n v="48000"/>
    <s v="INR"/>
    <s v="https://www.news18.com/india/fresh-graduate-loses-rs48000-in-fake-call-centre-job-scam-8896035.html"/>
    <s v="NA"/>
    <s v="Negative"/>
    <s v="Alleged"/>
    <s v="None"/>
    <s v="screenshot: case13.png"/>
    <s v="NA"/>
  </r>
  <r>
    <n v="14"/>
    <x v="0"/>
    <s v="NewsArticle"/>
    <d v="2025-01-09T00:00:00"/>
    <s v="[REDACTED]"/>
    <s v="India"/>
    <s v="CourseScam"/>
    <s v="PlacementPromise"/>
    <s v="Students paid for &quot;assured placement&quot; programme; no companies visited campus"/>
    <n v="45000"/>
    <s v="INR"/>
    <s v="https://www.hindustantimes.com/education/job-guarantee-course-scam-students-left-without-placement-101704786321164.html"/>
    <s v="NA"/>
    <s v="Negative"/>
    <s v="Alleged"/>
    <s v="None"/>
    <s v="screenshot: case14.png"/>
    <s v="NA"/>
  </r>
  <r>
    <n v="15"/>
    <x v="0"/>
    <s v="NewsArticle"/>
    <d v="2024-12-08T00:00:00"/>
    <s v="[REDACTED]"/>
    <s v="India"/>
    <s v="EdTechScam"/>
    <s v="LoanScam"/>
    <s v="Students forced into illegal education loans by fraud EdTech sales teams"/>
    <s v="NA"/>
    <s v="NA"/>
    <s v="NA"/>
    <s v="https://www.thehindu.com/education/edtech-loan-scams-on-the-rise/article68046949.ece"/>
    <s v="NA"/>
    <s v="Negative"/>
    <s v="Reported"/>
    <s v="Govt_warning"/>
    <s v="screenshot: case15.png"/>
  </r>
  <r>
    <n v="16"/>
    <x v="0"/>
    <s v="NewsArticle"/>
    <d v="2024-09-21T00:00:00"/>
    <s v="[REDACTED]"/>
    <s v="India"/>
    <s v="JobOfferScam"/>
    <s v="RemoteJob"/>
    <s v="MP man duped of Rs 1.1L in remote job scam via WhatsApp"/>
    <n v="110000"/>
    <s v="INR"/>
    <s v="https://timesofindia.indiatimes.com/city/indore/mp-man-duped-of-1-1l-in-remote-job-scam/articleshow/121144223.cms"/>
    <s v="NA"/>
    <s v="Negative"/>
    <s v="Reported"/>
    <s v="FIR_registered"/>
    <s v="screenshot: case16.png"/>
    <s v="NA"/>
  </r>
  <r>
    <n v="17"/>
    <x v="0"/>
    <s v="NewsArticle"/>
    <d v="2025-03-29T00:00:00"/>
    <s v="[REDACTED]"/>
    <s v="India"/>
    <s v="FakeCollege"/>
    <s v="AdmissionScam"/>
    <s v="Fake engineering college advertised AI/ML labs, but had no approval"/>
    <s v="NA"/>
    <s v="NA"/>
    <s v="NA"/>
    <s v="https://www.deccanchronicle.com/education/fake-engineering-college-busted-claims-ai-ml-labs-935272"/>
    <s v="NA"/>
    <s v="Negative"/>
    <s v="Reported"/>
    <s v="College_shut"/>
    <s v="screenshot: case17.png"/>
  </r>
  <r>
    <n v="18"/>
    <x v="0"/>
    <s v="NewsArticle"/>
    <d v="2025-02-23T00:00:00"/>
    <s v="[REDACTED]"/>
    <s v="India"/>
    <s v="CourseScam"/>
    <s v="InfluencerCourse"/>
    <s v="Hundreds misled by influencer's “high-paying job” course"/>
    <n v="10000"/>
    <s v="INR"/>
    <s v="https://www.indiatoday.in/education-today/news/story/influencer-job-course-scam-students-duped-2662919-2025-02-23"/>
    <s v="NA"/>
    <s v="Negative"/>
    <s v="Alleged"/>
    <s v="None"/>
    <s v="screenshot: case18.png"/>
    <s v="NA"/>
  </r>
  <r>
    <n v="19"/>
    <x v="0"/>
    <s v="NewsArticle"/>
    <d v="2024-11-27T00:00:00"/>
    <s v="[REDACTED]"/>
    <s v="India"/>
    <s v="JobOfferScam"/>
    <s v="ITConsultancy"/>
    <s v="Candidates cheated by fake consultancy offering IT jobs abroad"/>
    <n v="90000"/>
    <s v="INR"/>
    <s v="https://www.thenewsminute.com/news/fake-it-consultancy-scam-cheats-jobseekers-90k"/>
    <s v="NA"/>
    <s v="Negative"/>
    <s v="Reported"/>
    <s v="Immigration_alert"/>
    <s v="screenshot: case19.png"/>
    <s v="NA"/>
  </r>
  <r>
    <n v="20"/>
    <x v="0"/>
    <s v="NewsArticle"/>
    <d v="2025-01-28T00:00:00"/>
    <s v="[REDACTED]"/>
    <s v="India"/>
    <s v="InternshipScam"/>
    <s v="RemoteInternship"/>
    <s v="Fake remote internship portal collected fees from 200+ students"/>
    <s v="NA"/>
    <s v="NA"/>
    <s v="NA"/>
    <s v="https://www.business-standard.com/india-news/remote-internship-portal-scam-collects-fees-from-students-20250128012345"/>
    <s v="NA"/>
    <s v="Negative"/>
    <s v="Reported"/>
    <s v="Police_inquiry"/>
    <s v="screenshot: case20.png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1"/>
    <s v="News"/>
    <s v="NewsArticle"/>
    <d v="2025-09-15T00:00:00"/>
    <s v="[REDACTED]"/>
    <s v="India"/>
    <x v="0"/>
    <s v="FakeCourse"/>
    <s v="40 Surat students lost Rs 52.27L to fake tech course promising jobs"/>
    <n v="5227000"/>
    <s v="INR"/>
    <s v="https://timesofindia.indiatimes.com/city/surat/hacked-dreams-40-students-lose-52l-to-fake-tech-courses/articleshow/122669778.cms"/>
    <s v="NA"/>
    <s v="Negative"/>
    <s v="Reported"/>
    <s v="FIR_registered"/>
    <s v="screenshot: case1.png"/>
    <s v="NA"/>
    <x v="0"/>
  </r>
  <r>
    <n v="2"/>
    <s v="News"/>
    <s v="NewsArticle"/>
    <d v="2025-11-08T00:00:00"/>
    <s v="[REDACTED]"/>
    <s v="India"/>
    <x v="1"/>
    <s v="FakeHR"/>
    <s v="Constable cheated of Rs 6.4L in fake Uniqlo job offer scam"/>
    <n v="640000"/>
    <s v="INR"/>
    <s v="https://timesofindia.indiatimes.com/city/hyderabad/cyber-cons-dupe-constable-of-6-4l-in-fake-uniqlo-job-scam/articleshow/125190666.cms"/>
    <s v="NA"/>
    <s v="Negative"/>
    <s v="Reported"/>
    <s v="FIR_registered"/>
    <s v="screenshot: case2.png"/>
    <s v="NA"/>
    <x v="1"/>
  </r>
  <r>
    <n v="3"/>
    <s v="News"/>
    <s v="NewsArticle"/>
    <d v="2025-06-19T00:00:00"/>
    <s v="[REDACTED]"/>
    <s v="India"/>
    <x v="2"/>
    <s v="PaidTraining"/>
    <s v="Bengaluru students scammed in paid online internship scheme"/>
    <s v="NA"/>
    <s v="NA"/>
    <s v="NA"/>
    <s v="https://timesofindia.indiatimes.com/city/bengaluru/several-bengaluru-students-fall-prey-to-online-internship-scams/articleshow/121938429.cms"/>
    <s v="NA"/>
    <s v="Negative"/>
    <s v="Alleged"/>
    <s v="None"/>
    <s v="screenshot: case3.png"/>
    <x v="2"/>
  </r>
  <r>
    <n v="4"/>
    <s v="News"/>
    <s v="NewsArticle"/>
    <d v="2024-08-21T00:00:00"/>
    <s v="[REDACTED]"/>
    <s v="India"/>
    <x v="3"/>
    <s v="FakeInternship"/>
    <s v="Woman nearly scammed by fake internship demanding registration fee"/>
    <n v="15000"/>
    <s v="INR"/>
    <s v="https://www.ndtv.com/offbeat/watch-woman-hired-as-intern-shares-how-she-nearly-got-scammed-by-a-fake-company-6387891"/>
    <s v="NA"/>
    <s v="Negative"/>
    <s v="Alleged"/>
    <s v="None"/>
    <s v="screenshot: case4.png"/>
    <s v="NA"/>
    <x v="3"/>
  </r>
  <r>
    <n v="5"/>
    <s v="News"/>
    <s v="NewsArticle"/>
    <d v="2024-12-26T00:00:00"/>
    <s v="[REDACTED]"/>
    <s v="India"/>
    <x v="1"/>
    <s v="PartTimeJob"/>
    <s v="27-year-old man lost Rs 57.75L in part-time task scam"/>
    <n v="5775000"/>
    <s v="INR"/>
    <s v="https://www.indiatoday.in/technology/news/story/27-year-old-man-loses-rs-57-lakh-in-part-time-job-scam-2655724-2024-12-26"/>
    <s v="NA"/>
    <s v="Negative"/>
    <s v="Reported"/>
    <s v="FIR_registered"/>
    <s v="screenshot: case5.png"/>
    <s v="NA"/>
    <x v="4"/>
  </r>
  <r>
    <n v="6"/>
    <s v="News"/>
    <s v="NewsArticle"/>
    <d v="2025-07-01T00:00:00"/>
    <s v="[REDACTED]"/>
    <s v="India"/>
    <x v="4"/>
    <s v="FakeCertificates"/>
    <s v="UP fake certificate scam exposed with 8000 fake degrees identified"/>
    <s v="NA"/>
    <s v="NA"/>
    <s v="NA"/>
    <s v="https://timesofindia.indiatimes.com/india/sc-flags-large-scale-fake-certificate-fraud-in-up/articleshow/122169070.cms"/>
    <s v="NA"/>
    <s v="Negative"/>
    <s v="Reported"/>
    <s v="Investigation_ongoing"/>
    <s v="screenshot: case6.png"/>
    <x v="5"/>
  </r>
  <r>
    <n v="7"/>
    <s v="News"/>
    <s v="NewsArticle"/>
    <d v="2025-03-13T00:00:00"/>
    <s v="[REDACTED]"/>
    <s v="India"/>
    <x v="1"/>
    <s v="FakePlacement"/>
    <s v="24 people duped of Rs 1.2 crore through fake IT job placements"/>
    <n v="12000000"/>
    <s v="INR"/>
    <s v="https://timesofindia.indiatimes.com/city/kochi/24-people-duped-of-1-2-crore-through-fake-it-job-placements/articleshow/120630712.cms"/>
    <s v="NA"/>
    <s v="Negative"/>
    <s v="Reported"/>
    <s v="FIR_registered"/>
    <s v="screenshot: case7.png"/>
    <s v="NA"/>
    <x v="6"/>
  </r>
  <r>
    <n v="8"/>
    <s v="News"/>
    <s v="NewsArticle"/>
    <d v="2024-11-10T00:00:00"/>
    <s v="[REDACTED]"/>
    <s v="India"/>
    <x v="0"/>
    <s v="NoRefund"/>
    <s v="Students protest after EdTech refused refunds for cancelled course"/>
    <n v="25000"/>
    <s v="INR"/>
    <s v="https://www.hindustantimes.com/education/students-protest-against-edtech-refund-issues-101699628387362.html"/>
    <s v="NA"/>
    <s v="Negative"/>
    <s v="Alleged"/>
    <s v="None"/>
    <s v="screenshot: case8.png"/>
    <s v="NA"/>
    <x v="7"/>
  </r>
  <r>
    <n v="9"/>
    <s v="News"/>
    <s v="NewsArticle"/>
    <d v="2025-01-20T00:00:00"/>
    <s v="[REDACTED]"/>
    <s v="India"/>
    <x v="1"/>
    <s v="TelegramJob"/>
    <s v="Pune man loses Rs 5.3L in Telegram task fraud"/>
    <n v="530000"/>
    <s v="INR"/>
    <s v="https://indianexpress.com/article/cities/pune/pune-man-loses-rs-5-3-lakh-in-online-task-fraud-9132471/"/>
    <s v="NA"/>
    <s v="Negative"/>
    <s v="Reported"/>
    <s v="FIR_registered"/>
    <s v="screenshot: case9.png"/>
    <s v="NA"/>
    <x v="8"/>
  </r>
  <r>
    <n v="10"/>
    <s v="News"/>
    <s v="NewsArticle"/>
    <d v="2025-02-05T00:00:00"/>
    <s v="[REDACTED]"/>
    <s v="India"/>
    <x v="2"/>
    <s v="SkillCourse"/>
    <s v="Fake skill-training institute collected Rs 20L from 60 students"/>
    <n v="2000000"/>
    <s v="INR"/>
    <s v="https://timesofindia.indiatimes.com/city/chennai/fake-skill-training-institute-dupes-students-of-20l/articleshow/123126772.cms"/>
    <s v="NA"/>
    <s v="Negative"/>
    <s v="Reported"/>
    <s v="Police_raid"/>
    <s v="screenshot: case10.png"/>
    <s v="NA"/>
    <x v="9"/>
  </r>
  <r>
    <n v="11"/>
    <s v="News"/>
    <s v="NewsArticle"/>
    <d v="2025-04-14T00:00:00"/>
    <s v="[REDACTED]"/>
    <s v="India"/>
    <x v="4"/>
    <s v="FakeUniversity"/>
    <s v="Students discover their MBA college was unapproved, degrees invalid"/>
    <s v="NA"/>
    <s v="NA"/>
    <s v="NA"/>
    <s v="https://timesofindia.indiatimes.com/city/mumbai/mumbai-students-stunned-as-mba-college-turns-out-unapproved/articleshow/123728991.cms"/>
    <s v="NA"/>
    <s v="Negative"/>
    <s v="Reported"/>
    <s v="Govt_action"/>
    <s v="screenshot: case11.png"/>
    <x v="10"/>
  </r>
  <r>
    <n v="12"/>
    <s v="News"/>
    <s v="NewsArticle"/>
    <d v="2024-10-02T00:00:00"/>
    <s v="[REDACTED]"/>
    <s v="India"/>
    <x v="3"/>
    <s v="StipendFraud"/>
    <s v="Students denied promised stipends after internship scam exposed"/>
    <n v="8000"/>
    <s v="INR"/>
    <s v="https://www.livemint.com/education/news/students-denied-stipend-internship-scam-11770203677512.html"/>
    <s v="NA"/>
    <s v="Negative"/>
    <s v="Alleged"/>
    <s v="None"/>
    <s v="screenshot: case12.png"/>
    <s v="NA"/>
    <x v="11"/>
  </r>
  <r>
    <n v="13"/>
    <s v="News"/>
    <s v="NewsArticle"/>
    <d v="2025-05-18T00:00:00"/>
    <s v="[REDACTED]"/>
    <s v="India"/>
    <x v="1"/>
    <s v="CallCenterScam"/>
    <s v="Fresh graduate cheated of Rs 48,000 by fake call-center job"/>
    <n v="48000"/>
    <s v="INR"/>
    <s v="https://www.news18.com/india/fresh-graduate-loses-rs48000-in-fake-call-centre-job-scam-8896035.html"/>
    <s v="NA"/>
    <s v="Negative"/>
    <s v="Alleged"/>
    <s v="None"/>
    <s v="screenshot: case13.png"/>
    <s v="NA"/>
    <x v="12"/>
  </r>
  <r>
    <n v="14"/>
    <s v="News"/>
    <s v="NewsArticle"/>
    <d v="2025-01-09T00:00:00"/>
    <s v="[REDACTED]"/>
    <s v="India"/>
    <x v="0"/>
    <s v="PlacementPromise"/>
    <s v="Students paid for &quot;assured placement&quot; programme; no companies visited campus"/>
    <n v="45000"/>
    <s v="INR"/>
    <s v="https://www.hindustantimes.com/education/job-guarantee-course-scam-students-left-without-placement-101704786321164.html"/>
    <s v="NA"/>
    <s v="Negative"/>
    <s v="Alleged"/>
    <s v="None"/>
    <s v="screenshot: case14.png"/>
    <s v="NA"/>
    <x v="8"/>
  </r>
  <r>
    <n v="15"/>
    <s v="News"/>
    <s v="NewsArticle"/>
    <d v="2024-12-08T00:00:00"/>
    <s v="[REDACTED]"/>
    <s v="India"/>
    <x v="5"/>
    <s v="LoanScam"/>
    <s v="Students forced into illegal education loans by fraud EdTech sales teams"/>
    <s v="NA"/>
    <s v="NA"/>
    <s v="NA"/>
    <s v="https://www.thehindu.com/education/edtech-loan-scams-on-the-rise/article68046949.ece"/>
    <s v="NA"/>
    <s v="Negative"/>
    <s v="Reported"/>
    <s v="Govt_warning"/>
    <s v="screenshot: case15.png"/>
    <x v="4"/>
  </r>
  <r>
    <n v="16"/>
    <s v="News"/>
    <s v="NewsArticle"/>
    <d v="2024-09-21T00:00:00"/>
    <s v="[REDACTED]"/>
    <s v="India"/>
    <x v="1"/>
    <s v="RemoteJob"/>
    <s v="MP man duped of Rs 1.1L in remote job scam via WhatsApp"/>
    <n v="110000"/>
    <s v="INR"/>
    <s v="https://timesofindia.indiatimes.com/city/indore/mp-man-duped-of-1-1l-in-remote-job-scam/articleshow/121144223.cms"/>
    <s v="NA"/>
    <s v="Negative"/>
    <s v="Reported"/>
    <s v="FIR_registered"/>
    <s v="screenshot: case16.png"/>
    <s v="NA"/>
    <x v="13"/>
  </r>
  <r>
    <n v="17"/>
    <s v="News"/>
    <s v="NewsArticle"/>
    <d v="2025-03-29T00:00:00"/>
    <s v="[REDACTED]"/>
    <s v="India"/>
    <x v="4"/>
    <s v="AdmissionScam"/>
    <s v="Fake engineering college advertised AI/ML labs, but had no approval"/>
    <s v="NA"/>
    <s v="NA"/>
    <s v="NA"/>
    <s v="https://www.deccanchronicle.com/education/fake-engineering-college-busted-claims-ai-ml-labs-935272"/>
    <s v="NA"/>
    <s v="Negative"/>
    <s v="Reported"/>
    <s v="College_shut"/>
    <s v="screenshot: case17.png"/>
    <x v="6"/>
  </r>
  <r>
    <n v="18"/>
    <s v="News"/>
    <s v="NewsArticle"/>
    <d v="2025-02-23T00:00:00"/>
    <s v="[REDACTED]"/>
    <s v="India"/>
    <x v="0"/>
    <s v="InfluencerCourse"/>
    <s v="Hundreds misled by influencer's “high-paying job” course"/>
    <n v="10000"/>
    <s v="INR"/>
    <s v="https://www.indiatoday.in/education-today/news/story/influencer-job-course-scam-students-duped-2662919-2025-02-23"/>
    <s v="NA"/>
    <s v="Negative"/>
    <s v="Alleged"/>
    <s v="None"/>
    <s v="screenshot: case18.png"/>
    <s v="NA"/>
    <x v="9"/>
  </r>
  <r>
    <n v="19"/>
    <s v="News"/>
    <s v="NewsArticle"/>
    <d v="2024-11-27T00:00:00"/>
    <s v="[REDACTED]"/>
    <s v="India"/>
    <x v="1"/>
    <s v="ITConsultancy"/>
    <s v="Candidates cheated by fake consultancy offering IT jobs abroad"/>
    <n v="90000"/>
    <s v="INR"/>
    <s v="https://www.thenewsminute.com/news/fake-it-consultancy-scam-cheats-jobseekers-90k"/>
    <s v="NA"/>
    <s v="Negative"/>
    <s v="Reported"/>
    <s v="Immigration_alert"/>
    <s v="screenshot: case19.png"/>
    <s v="NA"/>
    <x v="7"/>
  </r>
  <r>
    <n v="20"/>
    <s v="News"/>
    <s v="NewsArticle"/>
    <d v="2025-01-28T00:00:00"/>
    <s v="[REDACTED]"/>
    <s v="India"/>
    <x v="3"/>
    <s v="RemoteInternship"/>
    <s v="Fake remote internship portal collected fees from 200+ students"/>
    <s v="NA"/>
    <s v="NA"/>
    <s v="NA"/>
    <s v="https://www.business-standard.com/india-news/remote-internship-portal-scam-collects-fees-from-students-20250128012345"/>
    <s v="NA"/>
    <s v="Negative"/>
    <s v="Reported"/>
    <s v="Police_inquiry"/>
    <s v="screenshot: case20.png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000B10-F29E-4AB3-BE6E-17602D5B2311}" name="PivotTable7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55:B62" firstHeaderRow="1" firstDataRow="1" firstDataCol="1"/>
  <pivotFields count="19">
    <pivotField showAll="0"/>
    <pivotField showAll="0"/>
    <pivotField showAll="0"/>
    <pivotField numFmtId="14" showAll="0"/>
    <pivotField showAll="0"/>
    <pivotField showAll="0"/>
    <pivotField axis="axisRow" showAll="0">
      <items count="7">
        <item x="0"/>
        <item x="5"/>
        <item x="4"/>
        <item x="3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amount_claimed_lost" fld="9" baseField="6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8328C5-E2C6-407E-AD44-2406E456C620}" name="PivotTable6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4:B49" firstHeaderRow="1" firstDataRow="1" firstDataCol="1"/>
  <pivotFields count="19">
    <pivotField dataField="1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x="3"/>
        <item x="13"/>
        <item x="11"/>
        <item x="7"/>
        <item x="4"/>
        <item x="8"/>
        <item x="9"/>
        <item x="6"/>
        <item x="10"/>
        <item x="12"/>
        <item x="2"/>
        <item x="5"/>
        <item x="0"/>
        <item x="1"/>
        <item t="default"/>
      </items>
    </pivotField>
  </pivotFields>
  <rowFields count="1">
    <field x="18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Count of id" fld="0" subtotal="count" baseField="18" baseItem="0"/>
  </dataFields>
  <chartFormats count="1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26FA9F7-3C9F-44BC-82F6-297A6A3290AE}" name="PivotTable3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22:B24" firstHeaderRow="1" firstDataRow="1" firstDataCol="1"/>
  <pivotFields count="18">
    <pivotField dataField="1" showAll="0"/>
    <pivotField axis="axisRow" showAll="0">
      <items count="2">
        <item x="0"/>
        <item t="default"/>
      </items>
    </pivotField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">
    <i>
      <x/>
    </i>
    <i t="grand">
      <x/>
    </i>
  </rowItems>
  <colItems count="1">
    <i/>
  </colItems>
  <dataFields count="1">
    <dataField name="Count of id" fld="0" subtotal="count" baseField="1" baseItem="0"/>
  </dataField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AB65C9-3615-46BD-B8D0-F38D58F6A3C7}" name="PivotTable2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0:B18" firstHeaderRow="1" firstDataRow="1" firstDataCol="1"/>
  <pivotFields count="18">
    <pivotField dataField="1" showAll="0"/>
    <pivotField showAll="0"/>
    <pivotField showAll="0"/>
    <pivotField showAll="0"/>
    <pivotField showAll="0"/>
    <pivotField showAll="0"/>
    <pivotField axis="axisRow" showAll="0">
      <items count="8">
        <item x="0"/>
        <item x="5"/>
        <item x="4"/>
        <item x="3"/>
        <item x="1"/>
        <item x="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Count of id" fld="0" subtotal="count" baseField="6" baseItem="0"/>
  </dataFields>
  <chartFormats count="1"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timesofindia.indiatimes.com/city/hyderabad/cyber-cons-dupe-constable-of-6-4l-in-fake-uniqlo-job-scam/articleshow/125190666.cms" TargetMode="External"/><Relationship Id="rId13" Type="http://schemas.openxmlformats.org/officeDocument/2006/relationships/hyperlink" Target="https://indianexpress.com/article/cities/pune/pune-man-loses-rs-5-3-lakh-in-online-task-fraud-9132471/" TargetMode="External"/><Relationship Id="rId18" Type="http://schemas.openxmlformats.org/officeDocument/2006/relationships/hyperlink" Target="https://timesofindia.indiatimes.com/city/indore/mp-man-duped-of-1-1l-in-remote-job-scam/articleshow/121144223.cms" TargetMode="External"/><Relationship Id="rId3" Type="http://schemas.openxmlformats.org/officeDocument/2006/relationships/hyperlink" Target="https://timesofindia.indiatimes.com/city/mumbai/mumbai-students-stunned-as-mba-college-turns-out-unapproved/articleshow/123728991.cms" TargetMode="External"/><Relationship Id="rId7" Type="http://schemas.openxmlformats.org/officeDocument/2006/relationships/hyperlink" Target="https://timesofindia.indiatimes.com/city/surat/hacked-dreams-40-students-lose-52l-to-fake-tech-courses/articleshow/122669778.cms" TargetMode="External"/><Relationship Id="rId12" Type="http://schemas.openxmlformats.org/officeDocument/2006/relationships/hyperlink" Target="https://www.hindustantimes.com/education/students-protest-against-edtech-refund-issues-101699628387362.html" TargetMode="External"/><Relationship Id="rId17" Type="http://schemas.openxmlformats.org/officeDocument/2006/relationships/hyperlink" Target="https://www.hindustantimes.com/education/job-guarantee-course-scam-students-left-without-placement-101704786321164.html" TargetMode="External"/><Relationship Id="rId2" Type="http://schemas.openxmlformats.org/officeDocument/2006/relationships/hyperlink" Target="https://timesofindia.indiatimes.com/india/sc-flags-large-scale-fake-certificate-fraud-in-up/articleshow/122169070.cms" TargetMode="External"/><Relationship Id="rId16" Type="http://schemas.openxmlformats.org/officeDocument/2006/relationships/hyperlink" Target="https://www.news18.com/india/fresh-graduate-loses-rs48000-in-fake-call-centre-job-scam-8896035.html" TargetMode="External"/><Relationship Id="rId20" Type="http://schemas.openxmlformats.org/officeDocument/2006/relationships/hyperlink" Target="https://www.thenewsminute.com/news/fake-it-consultancy-scam-cheats-jobseekers-90k" TargetMode="External"/><Relationship Id="rId1" Type="http://schemas.openxmlformats.org/officeDocument/2006/relationships/hyperlink" Target="https://timesofindia.indiatimes.com/city/bengaluru/several-bengaluru-students-fall-prey-to-online-internship-scams/articleshow/121938429.cms" TargetMode="External"/><Relationship Id="rId6" Type="http://schemas.openxmlformats.org/officeDocument/2006/relationships/hyperlink" Target="https://www.business-standard.com/india-news/remote-internship-portal-scam-collects-fees-from-students-20250128012345" TargetMode="External"/><Relationship Id="rId11" Type="http://schemas.openxmlformats.org/officeDocument/2006/relationships/hyperlink" Target="https://timesofindia.indiatimes.com/city/kochi/24-people-duped-of-1-2-crore-through-fake-it-job-placements/articleshow/120630712.cms" TargetMode="External"/><Relationship Id="rId5" Type="http://schemas.openxmlformats.org/officeDocument/2006/relationships/hyperlink" Target="https://www.deccanchronicle.com/education/fake-engineering-college-busted-claims-ai-ml-labs-935272" TargetMode="External"/><Relationship Id="rId15" Type="http://schemas.openxmlformats.org/officeDocument/2006/relationships/hyperlink" Target="https://www.livemint.com/education/news/students-denied-stipend-internship-scam-11770203677512.html" TargetMode="External"/><Relationship Id="rId10" Type="http://schemas.openxmlformats.org/officeDocument/2006/relationships/hyperlink" Target="https://www.indiatoday.in/technology/news/story/27-year-old-man-loses-rs-57-lakh-in-part-time-job-scam-2655724-2024-12-26" TargetMode="External"/><Relationship Id="rId19" Type="http://schemas.openxmlformats.org/officeDocument/2006/relationships/hyperlink" Target="https://www.indiatoday.in/education-today/news/story/influencer-job-course-scam-students-duped-2662919-2025-02-23" TargetMode="External"/><Relationship Id="rId4" Type="http://schemas.openxmlformats.org/officeDocument/2006/relationships/hyperlink" Target="https://www.thehindu.com/education/edtech-loan-scams-on-the-rise/article68046949.ece" TargetMode="External"/><Relationship Id="rId9" Type="http://schemas.openxmlformats.org/officeDocument/2006/relationships/hyperlink" Target="https://www.ndtv.com/offbeat/watch-woman-hired-as-intern-shares-how-she-nearly-got-scammed-by-a-fake-company-6387891" TargetMode="External"/><Relationship Id="rId14" Type="http://schemas.openxmlformats.org/officeDocument/2006/relationships/hyperlink" Target="https://timesofindia.indiatimes.com/city/chennai/fake-skill-training-institute-dupes-students-of-20l/articleshow/123126772.cms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26B87-7985-4ECC-AFAE-0FC1BDFB5258}">
  <dimension ref="A1:C18"/>
  <sheetViews>
    <sheetView workbookViewId="0">
      <selection activeCell="C25" sqref="C25"/>
    </sheetView>
  </sheetViews>
  <sheetFormatPr defaultRowHeight="14.4" x14ac:dyDescent="0.3"/>
  <cols>
    <col min="2" max="2" width="31.88671875" customWidth="1"/>
    <col min="3" max="3" width="118.88671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6</v>
      </c>
    </row>
    <row r="4" spans="1:3" x14ac:dyDescent="0.3">
      <c r="A4">
        <v>3</v>
      </c>
      <c r="B4" t="s">
        <v>7</v>
      </c>
      <c r="C4" t="s">
        <v>8</v>
      </c>
    </row>
    <row r="5" spans="1:3" x14ac:dyDescent="0.3">
      <c r="A5">
        <v>4</v>
      </c>
      <c r="B5" t="s">
        <v>9</v>
      </c>
      <c r="C5" t="s">
        <v>10</v>
      </c>
    </row>
    <row r="6" spans="1:3" x14ac:dyDescent="0.3">
      <c r="A6">
        <v>5</v>
      </c>
      <c r="B6" t="s">
        <v>11</v>
      </c>
      <c r="C6" t="s">
        <v>12</v>
      </c>
    </row>
    <row r="7" spans="1:3" x14ac:dyDescent="0.3">
      <c r="A7">
        <v>6</v>
      </c>
      <c r="B7" t="s">
        <v>13</v>
      </c>
      <c r="C7" t="s">
        <v>14</v>
      </c>
    </row>
    <row r="8" spans="1:3" x14ac:dyDescent="0.3">
      <c r="A8">
        <v>7</v>
      </c>
      <c r="B8" t="s">
        <v>15</v>
      </c>
      <c r="C8" t="s">
        <v>16</v>
      </c>
    </row>
    <row r="9" spans="1:3" x14ac:dyDescent="0.3">
      <c r="A9">
        <v>8</v>
      </c>
      <c r="B9" t="s">
        <v>17</v>
      </c>
      <c r="C9" t="s">
        <v>18</v>
      </c>
    </row>
    <row r="10" spans="1:3" x14ac:dyDescent="0.3">
      <c r="A10">
        <v>9</v>
      </c>
      <c r="B10" t="s">
        <v>19</v>
      </c>
      <c r="C10" t="s">
        <v>20</v>
      </c>
    </row>
    <row r="11" spans="1:3" x14ac:dyDescent="0.3">
      <c r="A11">
        <v>10</v>
      </c>
      <c r="B11" t="s">
        <v>21</v>
      </c>
      <c r="C11" t="s">
        <v>22</v>
      </c>
    </row>
    <row r="12" spans="1:3" x14ac:dyDescent="0.3">
      <c r="A12">
        <v>11</v>
      </c>
      <c r="B12" t="s">
        <v>23</v>
      </c>
      <c r="C12" t="s">
        <v>24</v>
      </c>
    </row>
    <row r="13" spans="1:3" x14ac:dyDescent="0.3">
      <c r="A13">
        <v>12</v>
      </c>
      <c r="B13" t="s">
        <v>25</v>
      </c>
      <c r="C13" t="s">
        <v>26</v>
      </c>
    </row>
    <row r="14" spans="1:3" x14ac:dyDescent="0.3">
      <c r="A14">
        <v>13</v>
      </c>
      <c r="B14" t="s">
        <v>27</v>
      </c>
      <c r="C14" t="s">
        <v>28</v>
      </c>
    </row>
    <row r="15" spans="1:3" x14ac:dyDescent="0.3">
      <c r="A15">
        <v>14</v>
      </c>
      <c r="B15" t="s">
        <v>29</v>
      </c>
      <c r="C15" t="s">
        <v>30</v>
      </c>
    </row>
    <row r="16" spans="1:3" x14ac:dyDescent="0.3">
      <c r="A16">
        <v>15</v>
      </c>
      <c r="B16" t="s">
        <v>31</v>
      </c>
      <c r="C16" t="s">
        <v>32</v>
      </c>
    </row>
    <row r="17" spans="1:3" x14ac:dyDescent="0.3">
      <c r="A17">
        <v>16</v>
      </c>
      <c r="B17" t="s">
        <v>33</v>
      </c>
      <c r="C17" t="s">
        <v>34</v>
      </c>
    </row>
    <row r="18" spans="1:3" x14ac:dyDescent="0.3">
      <c r="A18">
        <v>17</v>
      </c>
      <c r="B18" t="s">
        <v>35</v>
      </c>
      <c r="C18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B10A0-04F7-47FF-8618-1D99E253A3F2}">
  <dimension ref="A1:S21"/>
  <sheetViews>
    <sheetView topLeftCell="B1" zoomScaleNormal="100" workbookViewId="0">
      <selection activeCell="S21" sqref="A1:S21"/>
    </sheetView>
  </sheetViews>
  <sheetFormatPr defaultRowHeight="14.4" x14ac:dyDescent="0.3"/>
  <cols>
    <col min="3" max="3" width="15.77734375" customWidth="1"/>
    <col min="4" max="4" width="12.21875" customWidth="1"/>
    <col min="5" max="5" width="13.21875" customWidth="1"/>
    <col min="7" max="7" width="16" customWidth="1"/>
    <col min="8" max="8" width="17.6640625" customWidth="1"/>
    <col min="9" max="9" width="67.77734375" customWidth="1"/>
    <col min="10" max="10" width="26.88671875" customWidth="1"/>
    <col min="12" max="12" width="120.21875" customWidth="1"/>
    <col min="13" max="13" width="126.88671875" customWidth="1"/>
    <col min="14" max="14" width="18.44140625" customWidth="1"/>
    <col min="15" max="15" width="21" customWidth="1"/>
    <col min="16" max="16" width="20.21875" customWidth="1"/>
    <col min="17" max="17" width="19.33203125" customWidth="1"/>
    <col min="18" max="18" width="26.21875" customWidth="1"/>
  </cols>
  <sheetData>
    <row r="1" spans="1:19" x14ac:dyDescent="0.3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199</v>
      </c>
    </row>
    <row r="2" spans="1:19" x14ac:dyDescent="0.3">
      <c r="A2">
        <v>1</v>
      </c>
      <c r="B2" t="s">
        <v>55</v>
      </c>
      <c r="C2" t="s">
        <v>56</v>
      </c>
      <c r="D2" s="2">
        <v>45915</v>
      </c>
      <c r="E2" t="s">
        <v>57</v>
      </c>
      <c r="F2" t="s">
        <v>58</v>
      </c>
      <c r="G2" t="s">
        <v>59</v>
      </c>
      <c r="H2" t="s">
        <v>60</v>
      </c>
      <c r="I2" t="s">
        <v>61</v>
      </c>
      <c r="J2">
        <v>5227000</v>
      </c>
      <c r="K2" t="s">
        <v>62</v>
      </c>
      <c r="L2" s="3" t="s">
        <v>63</v>
      </c>
      <c r="M2" t="s">
        <v>64</v>
      </c>
      <c r="N2" t="s">
        <v>65</v>
      </c>
      <c r="O2" t="s">
        <v>66</v>
      </c>
      <c r="P2" t="s">
        <v>67</v>
      </c>
      <c r="Q2" t="s">
        <v>68</v>
      </c>
      <c r="R2" t="s">
        <v>64</v>
      </c>
      <c r="S2" t="str">
        <f>TEXT(D2,"YYYY-MM")</f>
        <v>2025-09</v>
      </c>
    </row>
    <row r="3" spans="1:19" x14ac:dyDescent="0.3">
      <c r="A3">
        <v>2</v>
      </c>
      <c r="B3" t="s">
        <v>55</v>
      </c>
      <c r="C3" t="s">
        <v>56</v>
      </c>
      <c r="D3" s="2">
        <v>45969</v>
      </c>
      <c r="E3" t="s">
        <v>57</v>
      </c>
      <c r="F3" t="s">
        <v>58</v>
      </c>
      <c r="G3" t="s">
        <v>69</v>
      </c>
      <c r="H3" t="s">
        <v>70</v>
      </c>
      <c r="I3" t="s">
        <v>71</v>
      </c>
      <c r="J3">
        <v>640000</v>
      </c>
      <c r="K3" t="s">
        <v>62</v>
      </c>
      <c r="L3" s="3" t="s">
        <v>72</v>
      </c>
      <c r="M3" t="s">
        <v>64</v>
      </c>
      <c r="N3" t="s">
        <v>65</v>
      </c>
      <c r="O3" t="s">
        <v>66</v>
      </c>
      <c r="P3" t="s">
        <v>67</v>
      </c>
      <c r="Q3" t="s">
        <v>73</v>
      </c>
      <c r="R3" t="s">
        <v>64</v>
      </c>
      <c r="S3" t="str">
        <f t="shared" ref="S3:S21" si="0">TEXT(D3,"YYYY-MM")</f>
        <v>2025-11</v>
      </c>
    </row>
    <row r="4" spans="1:19" x14ac:dyDescent="0.3">
      <c r="A4">
        <v>3</v>
      </c>
      <c r="B4" t="s">
        <v>55</v>
      </c>
      <c r="C4" t="s">
        <v>56</v>
      </c>
      <c r="D4" s="2">
        <v>45827</v>
      </c>
      <c r="E4" t="s">
        <v>57</v>
      </c>
      <c r="F4" t="s">
        <v>58</v>
      </c>
      <c r="G4" t="s">
        <v>74</v>
      </c>
      <c r="H4" t="s">
        <v>75</v>
      </c>
      <c r="I4" t="s">
        <v>76</v>
      </c>
      <c r="J4" t="s">
        <v>64</v>
      </c>
      <c r="K4" t="s">
        <v>64</v>
      </c>
      <c r="L4" t="s">
        <v>64</v>
      </c>
      <c r="M4" s="3" t="s">
        <v>77</v>
      </c>
      <c r="N4" t="s">
        <v>64</v>
      </c>
      <c r="O4" t="s">
        <v>65</v>
      </c>
      <c r="P4" t="s">
        <v>78</v>
      </c>
      <c r="Q4" t="s">
        <v>79</v>
      </c>
      <c r="R4" t="s">
        <v>80</v>
      </c>
      <c r="S4" t="str">
        <f t="shared" si="0"/>
        <v>2025-06</v>
      </c>
    </row>
    <row r="5" spans="1:19" x14ac:dyDescent="0.3">
      <c r="A5">
        <v>4</v>
      </c>
      <c r="B5" t="s">
        <v>55</v>
      </c>
      <c r="C5" t="s">
        <v>56</v>
      </c>
      <c r="D5" s="2">
        <v>45525</v>
      </c>
      <c r="E5" t="s">
        <v>57</v>
      </c>
      <c r="F5" t="s">
        <v>58</v>
      </c>
      <c r="G5" t="s">
        <v>81</v>
      </c>
      <c r="H5" t="s">
        <v>82</v>
      </c>
      <c r="I5" t="s">
        <v>83</v>
      </c>
      <c r="J5">
        <v>15000</v>
      </c>
      <c r="K5" t="s">
        <v>62</v>
      </c>
      <c r="L5" s="3" t="s">
        <v>84</v>
      </c>
      <c r="M5" t="s">
        <v>64</v>
      </c>
      <c r="N5" t="s">
        <v>65</v>
      </c>
      <c r="O5" t="s">
        <v>78</v>
      </c>
      <c r="P5" t="s">
        <v>79</v>
      </c>
      <c r="Q5" t="s">
        <v>85</v>
      </c>
      <c r="R5" t="s">
        <v>64</v>
      </c>
      <c r="S5" t="str">
        <f t="shared" si="0"/>
        <v>2024-08</v>
      </c>
    </row>
    <row r="6" spans="1:19" x14ac:dyDescent="0.3">
      <c r="A6">
        <v>5</v>
      </c>
      <c r="B6" t="s">
        <v>55</v>
      </c>
      <c r="C6" t="s">
        <v>56</v>
      </c>
      <c r="D6" s="2">
        <v>45652</v>
      </c>
      <c r="E6" t="s">
        <v>57</v>
      </c>
      <c r="F6" t="s">
        <v>58</v>
      </c>
      <c r="G6" t="s">
        <v>69</v>
      </c>
      <c r="H6" t="s">
        <v>86</v>
      </c>
      <c r="I6" t="s">
        <v>87</v>
      </c>
      <c r="J6">
        <v>5775000</v>
      </c>
      <c r="K6" t="s">
        <v>62</v>
      </c>
      <c r="L6" s="3" t="s">
        <v>88</v>
      </c>
      <c r="M6" t="s">
        <v>64</v>
      </c>
      <c r="N6" t="s">
        <v>65</v>
      </c>
      <c r="O6" t="s">
        <v>66</v>
      </c>
      <c r="P6" t="s">
        <v>67</v>
      </c>
      <c r="Q6" t="s">
        <v>89</v>
      </c>
      <c r="R6" t="s">
        <v>64</v>
      </c>
      <c r="S6" t="str">
        <f t="shared" si="0"/>
        <v>2024-12</v>
      </c>
    </row>
    <row r="7" spans="1:19" x14ac:dyDescent="0.3">
      <c r="A7">
        <v>6</v>
      </c>
      <c r="B7" t="s">
        <v>55</v>
      </c>
      <c r="C7" t="s">
        <v>56</v>
      </c>
      <c r="D7" s="2">
        <v>45839</v>
      </c>
      <c r="E7" t="s">
        <v>57</v>
      </c>
      <c r="F7" t="s">
        <v>58</v>
      </c>
      <c r="G7" t="s">
        <v>90</v>
      </c>
      <c r="H7" t="s">
        <v>91</v>
      </c>
      <c r="I7" t="s">
        <v>92</v>
      </c>
      <c r="J7" t="s">
        <v>64</v>
      </c>
      <c r="K7" t="s">
        <v>64</v>
      </c>
      <c r="L7" t="s">
        <v>64</v>
      </c>
      <c r="M7" s="3" t="s">
        <v>93</v>
      </c>
      <c r="N7" t="s">
        <v>64</v>
      </c>
      <c r="O7" t="s">
        <v>65</v>
      </c>
      <c r="P7" t="s">
        <v>66</v>
      </c>
      <c r="Q7" t="s">
        <v>94</v>
      </c>
      <c r="R7" t="s">
        <v>95</v>
      </c>
      <c r="S7" t="str">
        <f t="shared" si="0"/>
        <v>2025-07</v>
      </c>
    </row>
    <row r="8" spans="1:19" x14ac:dyDescent="0.3">
      <c r="A8">
        <v>7</v>
      </c>
      <c r="B8" t="s">
        <v>55</v>
      </c>
      <c r="C8" t="s">
        <v>56</v>
      </c>
      <c r="D8" s="2">
        <v>45729</v>
      </c>
      <c r="E8" t="s">
        <v>57</v>
      </c>
      <c r="F8" t="s">
        <v>58</v>
      </c>
      <c r="G8" t="s">
        <v>69</v>
      </c>
      <c r="H8" t="s">
        <v>96</v>
      </c>
      <c r="I8" t="s">
        <v>97</v>
      </c>
      <c r="J8">
        <v>12000000</v>
      </c>
      <c r="K8" t="s">
        <v>62</v>
      </c>
      <c r="L8" s="3" t="s">
        <v>98</v>
      </c>
      <c r="M8" t="s">
        <v>64</v>
      </c>
      <c r="N8" t="s">
        <v>65</v>
      </c>
      <c r="O8" t="s">
        <v>66</v>
      </c>
      <c r="P8" t="s">
        <v>67</v>
      </c>
      <c r="Q8" t="s">
        <v>99</v>
      </c>
      <c r="R8" t="s">
        <v>64</v>
      </c>
      <c r="S8" t="str">
        <f t="shared" si="0"/>
        <v>2025-03</v>
      </c>
    </row>
    <row r="9" spans="1:19" x14ac:dyDescent="0.3">
      <c r="A9">
        <v>8</v>
      </c>
      <c r="B9" t="s">
        <v>55</v>
      </c>
      <c r="C9" t="s">
        <v>56</v>
      </c>
      <c r="D9" s="2">
        <v>45606</v>
      </c>
      <c r="E9" t="s">
        <v>57</v>
      </c>
      <c r="F9" t="s">
        <v>58</v>
      </c>
      <c r="G9" t="s">
        <v>59</v>
      </c>
      <c r="H9" t="s">
        <v>100</v>
      </c>
      <c r="I9" t="s">
        <v>101</v>
      </c>
      <c r="J9">
        <v>25000</v>
      </c>
      <c r="K9" t="s">
        <v>62</v>
      </c>
      <c r="L9" s="3" t="s">
        <v>102</v>
      </c>
      <c r="M9" t="s">
        <v>64</v>
      </c>
      <c r="N9" t="s">
        <v>65</v>
      </c>
      <c r="O9" t="s">
        <v>78</v>
      </c>
      <c r="P9" t="s">
        <v>79</v>
      </c>
      <c r="Q9" t="s">
        <v>103</v>
      </c>
      <c r="R9" t="s">
        <v>64</v>
      </c>
      <c r="S9" t="str">
        <f t="shared" si="0"/>
        <v>2024-11</v>
      </c>
    </row>
    <row r="10" spans="1:19" x14ac:dyDescent="0.3">
      <c r="A10">
        <v>9</v>
      </c>
      <c r="B10" t="s">
        <v>55</v>
      </c>
      <c r="C10" t="s">
        <v>56</v>
      </c>
      <c r="D10" s="2">
        <v>45677</v>
      </c>
      <c r="E10" t="s">
        <v>57</v>
      </c>
      <c r="F10" t="s">
        <v>58</v>
      </c>
      <c r="G10" t="s">
        <v>69</v>
      </c>
      <c r="H10" t="s">
        <v>104</v>
      </c>
      <c r="I10" t="s">
        <v>105</v>
      </c>
      <c r="J10">
        <v>530000</v>
      </c>
      <c r="K10" t="s">
        <v>62</v>
      </c>
      <c r="L10" s="3" t="s">
        <v>106</v>
      </c>
      <c r="M10" t="s">
        <v>64</v>
      </c>
      <c r="N10" t="s">
        <v>65</v>
      </c>
      <c r="O10" t="s">
        <v>66</v>
      </c>
      <c r="P10" t="s">
        <v>67</v>
      </c>
      <c r="Q10" t="s">
        <v>107</v>
      </c>
      <c r="R10" t="s">
        <v>64</v>
      </c>
      <c r="S10" t="str">
        <f t="shared" si="0"/>
        <v>2025-01</v>
      </c>
    </row>
    <row r="11" spans="1:19" x14ac:dyDescent="0.3">
      <c r="A11">
        <v>10</v>
      </c>
      <c r="B11" t="s">
        <v>55</v>
      </c>
      <c r="C11" t="s">
        <v>56</v>
      </c>
      <c r="D11" s="2">
        <v>45693</v>
      </c>
      <c r="E11" t="s">
        <v>57</v>
      </c>
      <c r="F11" t="s">
        <v>58</v>
      </c>
      <c r="G11" t="s">
        <v>74</v>
      </c>
      <c r="H11" t="s">
        <v>108</v>
      </c>
      <c r="I11" t="s">
        <v>109</v>
      </c>
      <c r="J11">
        <v>2000000</v>
      </c>
      <c r="K11" t="s">
        <v>62</v>
      </c>
      <c r="L11" s="3" t="s">
        <v>110</v>
      </c>
      <c r="M11" t="s">
        <v>64</v>
      </c>
      <c r="N11" t="s">
        <v>65</v>
      </c>
      <c r="O11" t="s">
        <v>66</v>
      </c>
      <c r="P11" t="s">
        <v>111</v>
      </c>
      <c r="Q11" t="s">
        <v>112</v>
      </c>
      <c r="R11" t="s">
        <v>64</v>
      </c>
      <c r="S11" t="str">
        <f t="shared" si="0"/>
        <v>2025-02</v>
      </c>
    </row>
    <row r="12" spans="1:19" x14ac:dyDescent="0.3">
      <c r="A12">
        <v>11</v>
      </c>
      <c r="B12" t="s">
        <v>55</v>
      </c>
      <c r="C12" t="s">
        <v>56</v>
      </c>
      <c r="D12" s="2">
        <v>45761</v>
      </c>
      <c r="E12" t="s">
        <v>57</v>
      </c>
      <c r="F12" t="s">
        <v>58</v>
      </c>
      <c r="G12" t="s">
        <v>90</v>
      </c>
      <c r="H12" t="s">
        <v>113</v>
      </c>
      <c r="I12" t="s">
        <v>114</v>
      </c>
      <c r="J12" t="s">
        <v>64</v>
      </c>
      <c r="K12" t="s">
        <v>64</v>
      </c>
      <c r="L12" t="s">
        <v>64</v>
      </c>
      <c r="M12" s="3" t="s">
        <v>115</v>
      </c>
      <c r="N12" t="s">
        <v>64</v>
      </c>
      <c r="O12" t="s">
        <v>65</v>
      </c>
      <c r="P12" t="s">
        <v>66</v>
      </c>
      <c r="Q12" t="s">
        <v>116</v>
      </c>
      <c r="R12" t="s">
        <v>117</v>
      </c>
      <c r="S12" t="str">
        <f t="shared" si="0"/>
        <v>2025-04</v>
      </c>
    </row>
    <row r="13" spans="1:19" x14ac:dyDescent="0.3">
      <c r="A13">
        <v>12</v>
      </c>
      <c r="B13" t="s">
        <v>55</v>
      </c>
      <c r="C13" t="s">
        <v>56</v>
      </c>
      <c r="D13" s="2">
        <v>45567</v>
      </c>
      <c r="E13" t="s">
        <v>57</v>
      </c>
      <c r="F13" t="s">
        <v>58</v>
      </c>
      <c r="G13" t="s">
        <v>81</v>
      </c>
      <c r="H13" t="s">
        <v>118</v>
      </c>
      <c r="I13" t="s">
        <v>119</v>
      </c>
      <c r="J13">
        <v>8000</v>
      </c>
      <c r="K13" t="s">
        <v>62</v>
      </c>
      <c r="L13" s="3" t="s">
        <v>120</v>
      </c>
      <c r="M13" t="s">
        <v>64</v>
      </c>
      <c r="N13" t="s">
        <v>65</v>
      </c>
      <c r="O13" t="s">
        <v>78</v>
      </c>
      <c r="P13" t="s">
        <v>79</v>
      </c>
      <c r="Q13" t="s">
        <v>121</v>
      </c>
      <c r="R13" t="s">
        <v>64</v>
      </c>
      <c r="S13" t="str">
        <f t="shared" si="0"/>
        <v>2024-10</v>
      </c>
    </row>
    <row r="14" spans="1:19" x14ac:dyDescent="0.3">
      <c r="A14">
        <v>13</v>
      </c>
      <c r="B14" t="s">
        <v>55</v>
      </c>
      <c r="C14" t="s">
        <v>56</v>
      </c>
      <c r="D14" s="2">
        <v>45795</v>
      </c>
      <c r="E14" t="s">
        <v>57</v>
      </c>
      <c r="F14" t="s">
        <v>58</v>
      </c>
      <c r="G14" t="s">
        <v>69</v>
      </c>
      <c r="H14" t="s">
        <v>122</v>
      </c>
      <c r="I14" t="s">
        <v>123</v>
      </c>
      <c r="J14">
        <v>48000</v>
      </c>
      <c r="K14" t="s">
        <v>62</v>
      </c>
      <c r="L14" s="3" t="s">
        <v>124</v>
      </c>
      <c r="M14" t="s">
        <v>64</v>
      </c>
      <c r="N14" t="s">
        <v>65</v>
      </c>
      <c r="O14" t="s">
        <v>78</v>
      </c>
      <c r="P14" t="s">
        <v>79</v>
      </c>
      <c r="Q14" t="s">
        <v>125</v>
      </c>
      <c r="R14" t="s">
        <v>64</v>
      </c>
      <c r="S14" t="str">
        <f t="shared" si="0"/>
        <v>2025-05</v>
      </c>
    </row>
    <row r="15" spans="1:19" x14ac:dyDescent="0.3">
      <c r="A15">
        <v>14</v>
      </c>
      <c r="B15" t="s">
        <v>55</v>
      </c>
      <c r="C15" t="s">
        <v>56</v>
      </c>
      <c r="D15" s="2">
        <v>45666</v>
      </c>
      <c r="E15" t="s">
        <v>57</v>
      </c>
      <c r="F15" t="s">
        <v>58</v>
      </c>
      <c r="G15" t="s">
        <v>59</v>
      </c>
      <c r="H15" t="s">
        <v>126</v>
      </c>
      <c r="I15" t="s">
        <v>127</v>
      </c>
      <c r="J15">
        <v>45000</v>
      </c>
      <c r="K15" t="s">
        <v>62</v>
      </c>
      <c r="L15" s="3" t="s">
        <v>128</v>
      </c>
      <c r="M15" t="s">
        <v>64</v>
      </c>
      <c r="N15" t="s">
        <v>65</v>
      </c>
      <c r="O15" t="s">
        <v>78</v>
      </c>
      <c r="P15" t="s">
        <v>79</v>
      </c>
      <c r="Q15" t="s">
        <v>129</v>
      </c>
      <c r="R15" t="s">
        <v>64</v>
      </c>
      <c r="S15" t="str">
        <f t="shared" si="0"/>
        <v>2025-01</v>
      </c>
    </row>
    <row r="16" spans="1:19" x14ac:dyDescent="0.3">
      <c r="A16">
        <v>15</v>
      </c>
      <c r="B16" t="s">
        <v>55</v>
      </c>
      <c r="C16" t="s">
        <v>56</v>
      </c>
      <c r="D16" s="2">
        <v>45634</v>
      </c>
      <c r="E16" t="s">
        <v>57</v>
      </c>
      <c r="F16" t="s">
        <v>58</v>
      </c>
      <c r="G16" t="s">
        <v>130</v>
      </c>
      <c r="H16" t="s">
        <v>131</v>
      </c>
      <c r="I16" t="s">
        <v>132</v>
      </c>
      <c r="J16" t="s">
        <v>64</v>
      </c>
      <c r="K16" t="s">
        <v>64</v>
      </c>
      <c r="L16" t="s">
        <v>64</v>
      </c>
      <c r="M16" s="3" t="s">
        <v>133</v>
      </c>
      <c r="N16" t="s">
        <v>64</v>
      </c>
      <c r="O16" t="s">
        <v>65</v>
      </c>
      <c r="P16" t="s">
        <v>66</v>
      </c>
      <c r="Q16" t="s">
        <v>134</v>
      </c>
      <c r="R16" t="s">
        <v>135</v>
      </c>
      <c r="S16" t="str">
        <f t="shared" si="0"/>
        <v>2024-12</v>
      </c>
    </row>
    <row r="17" spans="1:19" x14ac:dyDescent="0.3">
      <c r="A17">
        <v>16</v>
      </c>
      <c r="B17" t="s">
        <v>55</v>
      </c>
      <c r="C17" t="s">
        <v>56</v>
      </c>
      <c r="D17" s="2">
        <v>45556</v>
      </c>
      <c r="E17" t="s">
        <v>57</v>
      </c>
      <c r="F17" t="s">
        <v>58</v>
      </c>
      <c r="G17" t="s">
        <v>69</v>
      </c>
      <c r="H17" t="s">
        <v>136</v>
      </c>
      <c r="I17" t="s">
        <v>137</v>
      </c>
      <c r="J17">
        <v>110000</v>
      </c>
      <c r="K17" t="s">
        <v>62</v>
      </c>
      <c r="L17" s="3" t="s">
        <v>138</v>
      </c>
      <c r="M17" t="s">
        <v>64</v>
      </c>
      <c r="N17" t="s">
        <v>65</v>
      </c>
      <c r="O17" t="s">
        <v>66</v>
      </c>
      <c r="P17" t="s">
        <v>67</v>
      </c>
      <c r="Q17" t="s">
        <v>139</v>
      </c>
      <c r="R17" t="s">
        <v>64</v>
      </c>
      <c r="S17" t="str">
        <f t="shared" si="0"/>
        <v>2024-09</v>
      </c>
    </row>
    <row r="18" spans="1:19" x14ac:dyDescent="0.3">
      <c r="A18">
        <v>17</v>
      </c>
      <c r="B18" t="s">
        <v>55</v>
      </c>
      <c r="C18" t="s">
        <v>56</v>
      </c>
      <c r="D18" s="2">
        <v>45745</v>
      </c>
      <c r="E18" t="s">
        <v>57</v>
      </c>
      <c r="F18" t="s">
        <v>58</v>
      </c>
      <c r="G18" t="s">
        <v>90</v>
      </c>
      <c r="H18" t="s">
        <v>140</v>
      </c>
      <c r="I18" t="s">
        <v>141</v>
      </c>
      <c r="J18" t="s">
        <v>64</v>
      </c>
      <c r="K18" t="s">
        <v>64</v>
      </c>
      <c r="L18" t="s">
        <v>64</v>
      </c>
      <c r="M18" s="3" t="s">
        <v>142</v>
      </c>
      <c r="N18" t="s">
        <v>64</v>
      </c>
      <c r="O18" t="s">
        <v>65</v>
      </c>
      <c r="P18" t="s">
        <v>66</v>
      </c>
      <c r="Q18" t="s">
        <v>143</v>
      </c>
      <c r="R18" t="s">
        <v>144</v>
      </c>
      <c r="S18" t="str">
        <f t="shared" si="0"/>
        <v>2025-03</v>
      </c>
    </row>
    <row r="19" spans="1:19" x14ac:dyDescent="0.3">
      <c r="A19">
        <v>18</v>
      </c>
      <c r="B19" t="s">
        <v>55</v>
      </c>
      <c r="C19" t="s">
        <v>56</v>
      </c>
      <c r="D19" s="2">
        <v>45711</v>
      </c>
      <c r="E19" t="s">
        <v>57</v>
      </c>
      <c r="F19" t="s">
        <v>58</v>
      </c>
      <c r="G19" t="s">
        <v>59</v>
      </c>
      <c r="H19" t="s">
        <v>145</v>
      </c>
      <c r="I19" t="s">
        <v>146</v>
      </c>
      <c r="J19">
        <v>10000</v>
      </c>
      <c r="K19" t="s">
        <v>62</v>
      </c>
      <c r="L19" s="3" t="s">
        <v>147</v>
      </c>
      <c r="M19" t="s">
        <v>64</v>
      </c>
      <c r="N19" t="s">
        <v>65</v>
      </c>
      <c r="O19" t="s">
        <v>78</v>
      </c>
      <c r="P19" t="s">
        <v>79</v>
      </c>
      <c r="Q19" t="s">
        <v>148</v>
      </c>
      <c r="R19" t="s">
        <v>64</v>
      </c>
      <c r="S19" t="str">
        <f t="shared" si="0"/>
        <v>2025-02</v>
      </c>
    </row>
    <row r="20" spans="1:19" x14ac:dyDescent="0.3">
      <c r="A20">
        <v>19</v>
      </c>
      <c r="B20" t="s">
        <v>55</v>
      </c>
      <c r="C20" t="s">
        <v>56</v>
      </c>
      <c r="D20" s="2">
        <v>45623</v>
      </c>
      <c r="E20" t="s">
        <v>57</v>
      </c>
      <c r="F20" t="s">
        <v>58</v>
      </c>
      <c r="G20" t="s">
        <v>69</v>
      </c>
      <c r="H20" t="s">
        <v>149</v>
      </c>
      <c r="I20" t="s">
        <v>150</v>
      </c>
      <c r="J20">
        <v>90000</v>
      </c>
      <c r="K20" t="s">
        <v>62</v>
      </c>
      <c r="L20" s="3" t="s">
        <v>151</v>
      </c>
      <c r="M20" t="s">
        <v>64</v>
      </c>
      <c r="N20" t="s">
        <v>65</v>
      </c>
      <c r="O20" t="s">
        <v>66</v>
      </c>
      <c r="P20" t="s">
        <v>152</v>
      </c>
      <c r="Q20" t="s">
        <v>153</v>
      </c>
      <c r="R20" t="s">
        <v>64</v>
      </c>
      <c r="S20" t="str">
        <f t="shared" si="0"/>
        <v>2024-11</v>
      </c>
    </row>
    <row r="21" spans="1:19" x14ac:dyDescent="0.3">
      <c r="A21">
        <v>20</v>
      </c>
      <c r="B21" t="s">
        <v>55</v>
      </c>
      <c r="C21" t="s">
        <v>56</v>
      </c>
      <c r="D21" s="2">
        <v>45685</v>
      </c>
      <c r="E21" t="s">
        <v>57</v>
      </c>
      <c r="F21" t="s">
        <v>58</v>
      </c>
      <c r="G21" t="s">
        <v>81</v>
      </c>
      <c r="H21" t="s">
        <v>154</v>
      </c>
      <c r="I21" t="s">
        <v>155</v>
      </c>
      <c r="J21" t="s">
        <v>64</v>
      </c>
      <c r="K21" t="s">
        <v>64</v>
      </c>
      <c r="L21" t="s">
        <v>64</v>
      </c>
      <c r="M21" s="3" t="s">
        <v>156</v>
      </c>
      <c r="N21" t="s">
        <v>64</v>
      </c>
      <c r="O21" t="s">
        <v>65</v>
      </c>
      <c r="P21" t="s">
        <v>66</v>
      </c>
      <c r="Q21" t="s">
        <v>157</v>
      </c>
      <c r="R21" t="s">
        <v>158</v>
      </c>
      <c r="S21" t="str">
        <f t="shared" si="0"/>
        <v>2025-01</v>
      </c>
    </row>
  </sheetData>
  <hyperlinks>
    <hyperlink ref="M4" r:id="rId1" xr:uid="{C32264C8-A02A-40DD-AD59-B770AAC7EFEB}"/>
    <hyperlink ref="M7" r:id="rId2" xr:uid="{5E38F013-42EA-4F4D-AA86-89F406C23CB9}"/>
    <hyperlink ref="M12" r:id="rId3" xr:uid="{22E61E49-6A61-491A-ADB8-0D45063A80FD}"/>
    <hyperlink ref="M16" r:id="rId4" xr:uid="{E41B43D3-01F2-4012-99E9-CDC1FB458B27}"/>
    <hyperlink ref="M18" r:id="rId5" xr:uid="{20B146FE-A902-469F-95EA-446489368C1B}"/>
    <hyperlink ref="M21" r:id="rId6" xr:uid="{418B10C8-FC74-4C28-8084-1384C3502FFB}"/>
    <hyperlink ref="L2" r:id="rId7" xr:uid="{0E562FC4-118A-4344-8877-8370C3C4AF57}"/>
    <hyperlink ref="L3" r:id="rId8" xr:uid="{5DDEA517-911D-4E78-B734-6083542277B5}"/>
    <hyperlink ref="L5" r:id="rId9" xr:uid="{6246C3F4-8A5E-40FE-A3D2-F1F901E2BAB7}"/>
    <hyperlink ref="L6" r:id="rId10" xr:uid="{42BF2539-AAD3-4DDA-88BA-25BC3452C2D1}"/>
    <hyperlink ref="L8" r:id="rId11" xr:uid="{D0AABF74-2D9A-4A1C-A006-86722CB4AA80}"/>
    <hyperlink ref="L9" r:id="rId12" xr:uid="{1C4BEA96-987F-40BC-9BE8-2B3A9BAF063D}"/>
    <hyperlink ref="L10" r:id="rId13" xr:uid="{ED96000E-52E2-457C-BF78-6BA551898585}"/>
    <hyperlink ref="L11" r:id="rId14" xr:uid="{7DF5CD29-B4A2-4A13-863A-7F6E17789E72}"/>
    <hyperlink ref="L13" r:id="rId15" xr:uid="{EAA7CB51-B8EE-4B2D-9FEA-E3C8F14801FF}"/>
    <hyperlink ref="L14" r:id="rId16" xr:uid="{974A05E1-B650-4993-BE1A-C382EFD764B5}"/>
    <hyperlink ref="L15" r:id="rId17" xr:uid="{FE053485-574C-49F9-9396-1CD60AD75ECB}"/>
    <hyperlink ref="L17" r:id="rId18" xr:uid="{AD73B6EF-B906-44BD-8E59-71F1AF79CBDB}"/>
    <hyperlink ref="L19" r:id="rId19" xr:uid="{2ED6A1B5-8BE6-45C2-8B56-52A5B8824EE2}"/>
    <hyperlink ref="L20" r:id="rId20" xr:uid="{3AFCA104-96CF-4F08-BEE8-01B372BA6E1C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E7B78-DC91-43CF-A200-6DC96F4A02C3}">
  <dimension ref="A1:C62"/>
  <sheetViews>
    <sheetView topLeftCell="A47" zoomScale="92" workbookViewId="0">
      <selection activeCell="B58" sqref="B58"/>
    </sheetView>
  </sheetViews>
  <sheetFormatPr defaultRowHeight="14.4" x14ac:dyDescent="0.3"/>
  <cols>
    <col min="1" max="1" width="24" customWidth="1"/>
    <col min="2" max="2" width="58.33203125" customWidth="1"/>
    <col min="3" max="3" width="54.21875" customWidth="1"/>
  </cols>
  <sheetData>
    <row r="1" spans="1:3" x14ac:dyDescent="0.3">
      <c r="A1" s="1" t="s">
        <v>159</v>
      </c>
      <c r="B1" s="1" t="s">
        <v>1</v>
      </c>
      <c r="C1" s="1" t="s">
        <v>160</v>
      </c>
    </row>
    <row r="2" spans="1:3" x14ac:dyDescent="0.3">
      <c r="A2" t="s">
        <v>161</v>
      </c>
      <c r="B2" t="s">
        <v>162</v>
      </c>
      <c r="C2" t="s">
        <v>163</v>
      </c>
    </row>
    <row r="3" spans="1:3" x14ac:dyDescent="0.3">
      <c r="A3" t="s">
        <v>164</v>
      </c>
      <c r="B3" t="s">
        <v>165</v>
      </c>
      <c r="C3" t="s">
        <v>166</v>
      </c>
    </row>
    <row r="4" spans="1:3" x14ac:dyDescent="0.3">
      <c r="A4" t="s">
        <v>167</v>
      </c>
      <c r="B4" t="s">
        <v>168</v>
      </c>
      <c r="C4" t="s">
        <v>169</v>
      </c>
    </row>
    <row r="5" spans="1:3" x14ac:dyDescent="0.3">
      <c r="A5" t="s">
        <v>170</v>
      </c>
      <c r="B5" t="s">
        <v>171</v>
      </c>
      <c r="C5" t="s">
        <v>172</v>
      </c>
    </row>
    <row r="6" spans="1:3" x14ac:dyDescent="0.3">
      <c r="A6" t="s">
        <v>173</v>
      </c>
      <c r="B6" t="s">
        <v>174</v>
      </c>
      <c r="C6" t="s">
        <v>175</v>
      </c>
    </row>
    <row r="9" spans="1:3" x14ac:dyDescent="0.3">
      <c r="A9" s="1" t="s">
        <v>161</v>
      </c>
    </row>
    <row r="10" spans="1:3" x14ac:dyDescent="0.3">
      <c r="A10" s="4" t="s">
        <v>195</v>
      </c>
      <c r="B10" t="s">
        <v>198</v>
      </c>
    </row>
    <row r="11" spans="1:3" x14ac:dyDescent="0.3">
      <c r="A11" s="5" t="s">
        <v>59</v>
      </c>
      <c r="B11" s="6">
        <v>4</v>
      </c>
    </row>
    <row r="12" spans="1:3" x14ac:dyDescent="0.3">
      <c r="A12" s="5" t="s">
        <v>130</v>
      </c>
      <c r="B12" s="6">
        <v>1</v>
      </c>
    </row>
    <row r="13" spans="1:3" x14ac:dyDescent="0.3">
      <c r="A13" s="5" t="s">
        <v>90</v>
      </c>
      <c r="B13" s="6">
        <v>3</v>
      </c>
    </row>
    <row r="14" spans="1:3" x14ac:dyDescent="0.3">
      <c r="A14" s="5" t="s">
        <v>81</v>
      </c>
      <c r="B14" s="6">
        <v>3</v>
      </c>
    </row>
    <row r="15" spans="1:3" x14ac:dyDescent="0.3">
      <c r="A15" s="5" t="s">
        <v>69</v>
      </c>
      <c r="B15" s="6">
        <v>7</v>
      </c>
    </row>
    <row r="16" spans="1:3" x14ac:dyDescent="0.3">
      <c r="A16" s="5" t="s">
        <v>74</v>
      </c>
      <c r="B16" s="6">
        <v>2</v>
      </c>
    </row>
    <row r="17" spans="1:2" x14ac:dyDescent="0.3">
      <c r="A17" s="5" t="s">
        <v>196</v>
      </c>
      <c r="B17" s="6"/>
    </row>
    <row r="18" spans="1:2" x14ac:dyDescent="0.3">
      <c r="A18" s="5" t="s">
        <v>197</v>
      </c>
      <c r="B18" s="6">
        <v>20</v>
      </c>
    </row>
    <row r="21" spans="1:2" x14ac:dyDescent="0.3">
      <c r="A21" s="7" t="s">
        <v>164</v>
      </c>
    </row>
    <row r="22" spans="1:2" x14ac:dyDescent="0.3">
      <c r="A22" s="4" t="s">
        <v>195</v>
      </c>
      <c r="B22" t="s">
        <v>198</v>
      </c>
    </row>
    <row r="23" spans="1:2" x14ac:dyDescent="0.3">
      <c r="A23" s="5" t="s">
        <v>55</v>
      </c>
      <c r="B23" s="6">
        <v>20</v>
      </c>
    </row>
    <row r="24" spans="1:2" x14ac:dyDescent="0.3">
      <c r="A24" s="5" t="s">
        <v>197</v>
      </c>
      <c r="B24" s="6">
        <v>20</v>
      </c>
    </row>
    <row r="32" spans="1:2" x14ac:dyDescent="0.3">
      <c r="A32" s="1" t="s">
        <v>167</v>
      </c>
    </row>
    <row r="34" spans="1:2" x14ac:dyDescent="0.3">
      <c r="A34" s="4" t="s">
        <v>195</v>
      </c>
      <c r="B34" t="s">
        <v>198</v>
      </c>
    </row>
    <row r="35" spans="1:2" x14ac:dyDescent="0.3">
      <c r="A35" s="5" t="s">
        <v>200</v>
      </c>
      <c r="B35" s="6">
        <v>1</v>
      </c>
    </row>
    <row r="36" spans="1:2" x14ac:dyDescent="0.3">
      <c r="A36" s="5" t="s">
        <v>201</v>
      </c>
      <c r="B36" s="6">
        <v>1</v>
      </c>
    </row>
    <row r="37" spans="1:2" x14ac:dyDescent="0.3">
      <c r="A37" s="5" t="s">
        <v>202</v>
      </c>
      <c r="B37" s="6">
        <v>1</v>
      </c>
    </row>
    <row r="38" spans="1:2" x14ac:dyDescent="0.3">
      <c r="A38" s="5" t="s">
        <v>203</v>
      </c>
      <c r="B38" s="6">
        <v>2</v>
      </c>
    </row>
    <row r="39" spans="1:2" x14ac:dyDescent="0.3">
      <c r="A39" s="5" t="s">
        <v>204</v>
      </c>
      <c r="B39" s="6">
        <v>2</v>
      </c>
    </row>
    <row r="40" spans="1:2" x14ac:dyDescent="0.3">
      <c r="A40" s="5" t="s">
        <v>205</v>
      </c>
      <c r="B40" s="6">
        <v>3</v>
      </c>
    </row>
    <row r="41" spans="1:2" x14ac:dyDescent="0.3">
      <c r="A41" s="5" t="s">
        <v>206</v>
      </c>
      <c r="B41" s="6">
        <v>2</v>
      </c>
    </row>
    <row r="42" spans="1:2" x14ac:dyDescent="0.3">
      <c r="A42" s="5" t="s">
        <v>207</v>
      </c>
      <c r="B42" s="6">
        <v>2</v>
      </c>
    </row>
    <row r="43" spans="1:2" x14ac:dyDescent="0.3">
      <c r="A43" s="5" t="s">
        <v>208</v>
      </c>
      <c r="B43" s="6">
        <v>1</v>
      </c>
    </row>
    <row r="44" spans="1:2" x14ac:dyDescent="0.3">
      <c r="A44" s="5" t="s">
        <v>209</v>
      </c>
      <c r="B44" s="6">
        <v>1</v>
      </c>
    </row>
    <row r="45" spans="1:2" x14ac:dyDescent="0.3">
      <c r="A45" s="5" t="s">
        <v>210</v>
      </c>
      <c r="B45" s="6">
        <v>1</v>
      </c>
    </row>
    <row r="46" spans="1:2" x14ac:dyDescent="0.3">
      <c r="A46" s="5" t="s">
        <v>211</v>
      </c>
      <c r="B46" s="6">
        <v>1</v>
      </c>
    </row>
    <row r="47" spans="1:2" x14ac:dyDescent="0.3">
      <c r="A47" s="5" t="s">
        <v>212</v>
      </c>
      <c r="B47" s="6">
        <v>1</v>
      </c>
    </row>
    <row r="48" spans="1:2" x14ac:dyDescent="0.3">
      <c r="A48" s="5" t="s">
        <v>213</v>
      </c>
      <c r="B48" s="6">
        <v>1</v>
      </c>
    </row>
    <row r="49" spans="1:2" x14ac:dyDescent="0.3">
      <c r="A49" s="5" t="s">
        <v>197</v>
      </c>
      <c r="B49" s="6">
        <v>20</v>
      </c>
    </row>
    <row r="53" spans="1:2" x14ac:dyDescent="0.3">
      <c r="A53" s="1" t="s">
        <v>170</v>
      </c>
    </row>
    <row r="55" spans="1:2" x14ac:dyDescent="0.3">
      <c r="A55" s="4" t="s">
        <v>195</v>
      </c>
      <c r="B55" t="s">
        <v>214</v>
      </c>
    </row>
    <row r="56" spans="1:2" x14ac:dyDescent="0.3">
      <c r="A56" s="5" t="s">
        <v>59</v>
      </c>
      <c r="B56" s="6">
        <v>5307000</v>
      </c>
    </row>
    <row r="57" spans="1:2" x14ac:dyDescent="0.3">
      <c r="A57" s="5" t="s">
        <v>130</v>
      </c>
      <c r="B57" s="6">
        <v>0</v>
      </c>
    </row>
    <row r="58" spans="1:2" x14ac:dyDescent="0.3">
      <c r="A58" s="5" t="s">
        <v>90</v>
      </c>
      <c r="B58" s="6">
        <v>0</v>
      </c>
    </row>
    <row r="59" spans="1:2" x14ac:dyDescent="0.3">
      <c r="A59" s="5" t="s">
        <v>81</v>
      </c>
      <c r="B59" s="6">
        <v>23000</v>
      </c>
    </row>
    <row r="60" spans="1:2" x14ac:dyDescent="0.3">
      <c r="A60" s="5" t="s">
        <v>69</v>
      </c>
      <c r="B60" s="6">
        <v>19193000</v>
      </c>
    </row>
    <row r="61" spans="1:2" x14ac:dyDescent="0.3">
      <c r="A61" s="5" t="s">
        <v>74</v>
      </c>
      <c r="B61" s="6">
        <v>2000000</v>
      </c>
    </row>
    <row r="62" spans="1:2" x14ac:dyDescent="0.3">
      <c r="A62" s="5" t="s">
        <v>197</v>
      </c>
      <c r="B62" s="6">
        <v>26523000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976B4-6129-459A-A1FD-86804C54B8DE}">
  <dimension ref="A1:D6"/>
  <sheetViews>
    <sheetView tabSelected="1" topLeftCell="A21" workbookViewId="0">
      <selection activeCell="D44" sqref="D44"/>
    </sheetView>
  </sheetViews>
  <sheetFormatPr defaultRowHeight="14.4" x14ac:dyDescent="0.3"/>
  <cols>
    <col min="2" max="2" width="21.5546875" customWidth="1"/>
    <col min="3" max="3" width="19.44140625" customWidth="1"/>
    <col min="4" max="4" width="53" customWidth="1"/>
  </cols>
  <sheetData>
    <row r="1" spans="1:4" x14ac:dyDescent="0.3">
      <c r="A1" s="1" t="s">
        <v>176</v>
      </c>
      <c r="B1" s="1" t="s">
        <v>177</v>
      </c>
      <c r="C1" s="1" t="s">
        <v>178</v>
      </c>
      <c r="D1" s="1" t="s">
        <v>179</v>
      </c>
    </row>
    <row r="2" spans="1:4" x14ac:dyDescent="0.3">
      <c r="A2" t="s">
        <v>180</v>
      </c>
      <c r="B2" t="s">
        <v>181</v>
      </c>
      <c r="C2" t="s">
        <v>161</v>
      </c>
      <c r="D2" t="s">
        <v>182</v>
      </c>
    </row>
    <row r="3" spans="1:4" x14ac:dyDescent="0.3">
      <c r="A3" t="s">
        <v>183</v>
      </c>
      <c r="B3" t="s">
        <v>184</v>
      </c>
      <c r="C3" t="s">
        <v>164</v>
      </c>
      <c r="D3" t="s">
        <v>185</v>
      </c>
    </row>
    <row r="4" spans="1:4" x14ac:dyDescent="0.3">
      <c r="A4" t="s">
        <v>186</v>
      </c>
      <c r="B4" t="s">
        <v>187</v>
      </c>
      <c r="C4" t="s">
        <v>167</v>
      </c>
      <c r="D4" t="s">
        <v>188</v>
      </c>
    </row>
    <row r="5" spans="1:4" x14ac:dyDescent="0.3">
      <c r="A5" t="s">
        <v>189</v>
      </c>
      <c r="B5" t="s">
        <v>190</v>
      </c>
      <c r="C5" t="s">
        <v>170</v>
      </c>
      <c r="D5" t="s">
        <v>191</v>
      </c>
    </row>
    <row r="6" spans="1:4" x14ac:dyDescent="0.3">
      <c r="A6" t="s">
        <v>192</v>
      </c>
      <c r="B6" t="s">
        <v>193</v>
      </c>
      <c r="C6" t="s">
        <v>173</v>
      </c>
      <c r="D6" t="s">
        <v>194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Dashboard_Instructions</vt:lpstr>
      <vt:lpstr>raw_data</vt:lpstr>
      <vt:lpstr>Pivots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Tulasi Madhagoni</dc:creator>
  <cp:lastModifiedBy>Tulasi Madhagoni</cp:lastModifiedBy>
  <dcterms:created xsi:type="dcterms:W3CDTF">2025-11-27T07:10:05Z</dcterms:created>
  <dcterms:modified xsi:type="dcterms:W3CDTF">2025-11-27T08:11:28Z</dcterms:modified>
</cp:coreProperties>
</file>